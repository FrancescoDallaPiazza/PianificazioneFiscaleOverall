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 spese" sheetId="1" state="visible" r:id="rId1"/>
    <sheet xmlns:r="http://schemas.openxmlformats.org/officeDocument/2006/relationships" name="Nota forfettaria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0.0000"/>
    <numFmt numFmtId="166" formatCode="dd/mm/yyyy"/>
    <numFmt numFmtId="167" formatCode="#,##0.00;-#,##0.00;-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1"/>
    </font>
    <font>
      <name val="Arial"/>
      <color rgb="00008000"/>
      <sz val="10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04040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thin">
        <color rgb="0099999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5" fillId="3" borderId="1" applyAlignment="1" pivotButton="0" quotePrefix="0" xfId="0">
      <alignment horizontal="center" vertical="center" wrapText="1"/>
    </xf>
    <xf numFmtId="166" fontId="4" fillId="4" borderId="1" applyProtection="1" pivotButton="0" quotePrefix="0" xfId="0">
      <protection locked="0" hidden="0"/>
    </xf>
    <xf numFmtId="0" fontId="4" fillId="4" borderId="1" applyProtection="1" pivotButton="0" quotePrefix="0" xfId="0">
      <protection locked="0" hidden="0"/>
    </xf>
    <xf numFmtId="167" fontId="6" fillId="4" borderId="1" pivotButton="0" quotePrefix="0" xfId="0"/>
    <xf numFmtId="167" fontId="4" fillId="4" borderId="1" applyProtection="1" pivotButton="0" quotePrefix="0" xfId="0">
      <protection locked="0" hidden="0"/>
    </xf>
    <xf numFmtId="0" fontId="6" fillId="4" borderId="1" pivotButton="0" quotePrefix="0" xfId="0"/>
    <xf numFmtId="166" fontId="4" fillId="2" borderId="1" applyProtection="1" pivotButton="0" quotePrefix="0" xfId="0">
      <protection locked="0" hidden="0"/>
    </xf>
    <xf numFmtId="167" fontId="6" fillId="0" borderId="1" pivotButton="0" quotePrefix="0" xfId="0"/>
    <xf numFmtId="167" fontId="4" fillId="2" borderId="1" applyProtection="1" pivotButton="0" quotePrefix="0" xfId="0">
      <protection locked="0" hidden="0"/>
    </xf>
    <xf numFmtId="0" fontId="6" fillId="0" borderId="1" pivotButton="0" quotePrefix="0" xfId="0"/>
    <xf numFmtId="3" fontId="3" fillId="0" borderId="0" pivotButton="0" quotePrefix="0" xfId="0"/>
    <xf numFmtId="167" fontId="3" fillId="0" borderId="0" pivotButton="0" quotePrefix="0" xfId="0"/>
    <xf numFmtId="167" fontId="3" fillId="5" borderId="0" pivotButton="0" quotePrefix="0" xfId="0"/>
    <xf numFmtId="0" fontId="7" fillId="0" borderId="0" pivotButton="0" quotePrefix="0" xfId="0"/>
    <xf numFmtId="0" fontId="0" fillId="0" borderId="2" pivotButton="0" quotePrefix="0" xfId="0"/>
    <xf numFmtId="0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7" fontId="4" fillId="0" borderId="1" pivotButton="0" quotePrefix="0" xfId="0"/>
    <xf numFmtId="0" fontId="10" fillId="0" borderId="0" pivotButton="0" quotePrefix="0" xfId="0"/>
    <xf numFmtId="167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66" fontId="4" fillId="4" borderId="1" applyProtection="1" pivotButton="0" quotePrefix="0" xfId="0">
      <protection locked="0" hidden="0"/>
    </xf>
    <xf numFmtId="167" fontId="6" fillId="4" borderId="1" pivotButton="0" quotePrefix="0" xfId="0"/>
    <xf numFmtId="167" fontId="4" fillId="4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167" fontId="6" fillId="0" borderId="1" pivotButton="0" quotePrefix="0" xfId="0"/>
    <xf numFmtId="167" fontId="4" fillId="2" borderId="1" applyProtection="1" pivotButton="0" quotePrefix="0" xfId="0">
      <protection locked="0" hidden="0"/>
    </xf>
    <xf numFmtId="167" fontId="3" fillId="0" borderId="0" pivotButton="0" quotePrefix="0" xfId="0"/>
    <xf numFmtId="167" fontId="3" fillId="5" borderId="0" pivotButton="0" quotePrefix="0" xfId="0"/>
    <xf numFmtId="164" fontId="9" fillId="0" borderId="1" pivotButton="0" quotePrefix="0" xfId="0"/>
    <xf numFmtId="165" fontId="9" fillId="0" borderId="1" pivotButton="0" quotePrefix="0" xfId="0"/>
    <xf numFmtId="167" fontId="4" fillId="0" borderId="1" pivotButton="0" quotePrefix="0" xfId="0"/>
    <xf numFmtId="167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Modello</author>
  </authors>
  <commentList>
    <comment ref="C11" authorId="0" shapeId="0">
      <text>
        <t>Valore di esempio: sostituire con la tariffa ACI 2026 del modello esatto del veicolo (sito ACI, Costi chilometrici).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3"/>
  <sheetViews>
    <sheetView workbookViewId="0">
      <pane xSplit="1" ySplit="15" topLeftCell="B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30" customWidth="1" min="4" max="4"/>
    <col width="18" customWidth="1" min="5" max="5"/>
    <col width="18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3" customWidth="1" min="14" max="14"/>
    <col width="9" customWidth="1" min="15" max="15"/>
    <col width="11" customWidth="1" min="16" max="16"/>
    <col width="34" customWidth="1" min="17" max="17"/>
  </cols>
  <sheetData>
    <row r="1">
      <c r="A1" s="1" t="inlineStr">
        <is>
          <t>NOTA SPESE MENSILE — TRASFERTE AMMINISTRATORE</t>
        </is>
      </c>
    </row>
    <row r="2">
      <c r="A2" s="2" t="inlineStr">
        <is>
          <t>Overall Group S.r.l. — compilare solo le celle gialle. Istruzioni nel foglio «Istruzioni».</t>
        </is>
      </c>
    </row>
    <row r="4">
      <c r="A4" s="3" t="inlineStr">
        <is>
          <t>Beneficiario</t>
        </is>
      </c>
      <c r="C4" s="4" t="inlineStr">
        <is>
          <t>Pradella Tazio</t>
        </is>
      </c>
    </row>
    <row r="5">
      <c r="A5" s="3" t="inlineStr">
        <is>
          <t>Ruolo</t>
        </is>
      </c>
      <c r="C5" s="4" t="inlineStr">
        <is>
          <t>Presidente CdA</t>
        </is>
      </c>
    </row>
    <row r="6">
      <c r="A6" s="3" t="inlineStr">
        <is>
          <t>Mese di riferimento</t>
        </is>
      </c>
      <c r="C6" s="30" t="n">
        <v>46082</v>
      </c>
    </row>
    <row r="7">
      <c r="A7" s="3" t="inlineStr">
        <is>
          <t>Sede di lavoro (comune)</t>
        </is>
      </c>
      <c r="C7" s="4" t="inlineStr">
        <is>
          <t>Villafranca di Verona</t>
        </is>
      </c>
    </row>
    <row r="8">
      <c r="A8" s="3" t="inlineStr">
        <is>
          <t>Comune di residenza</t>
        </is>
      </c>
      <c r="C8" s="4" t="inlineStr">
        <is>
          <t>Verona</t>
        </is>
      </c>
    </row>
    <row r="9">
      <c r="A9" s="3" t="inlineStr">
        <is>
          <t>Veicolo (marca e modello)</t>
        </is>
      </c>
      <c r="C9" s="4" t="inlineStr">
        <is>
          <t>da compilare</t>
        </is>
      </c>
    </row>
    <row r="10">
      <c r="A10" s="3" t="inlineStr">
        <is>
          <t>Targa</t>
        </is>
      </c>
      <c r="C10" s="4" t="inlineStr">
        <is>
          <t>da compilare</t>
        </is>
      </c>
    </row>
    <row r="11">
      <c r="A11" s="3" t="inlineStr">
        <is>
          <t>Tariffa ACI €/km del veicolo</t>
        </is>
      </c>
      <c r="C11" s="31" t="n">
        <v>0.45</v>
      </c>
    </row>
    <row r="12">
      <c r="A12" s="3" t="inlineStr">
        <is>
          <t>Fonte tariffa</t>
        </is>
      </c>
      <c r="C12" s="4" t="inlineStr">
        <is>
          <t>Tabelle ACI 2026, modello del veicolo</t>
        </is>
      </c>
    </row>
    <row r="13">
      <c r="A13" s="3" t="inlineStr">
        <is>
          <t>Altri nomi e frazioni del comune della sede (separati da virgola)</t>
        </is>
      </c>
      <c r="C13" s="4" t="inlineStr">
        <is>
          <t>Villafranca,Alpo,Caluri,Dossobuono,Pizzoletta,Quaderni,Rizza,Rosegaferro</t>
        </is>
      </c>
    </row>
    <row r="15" ht="45" customHeight="1">
      <c r="A15" s="7" t="inlineStr">
        <is>
          <t>Data</t>
        </is>
      </c>
      <c r="B15" s="7" t="inlineStr">
        <is>
          <t>Cliente</t>
        </is>
      </c>
      <c r="C15" s="7" t="inlineStr">
        <is>
          <t>Commessa / fattura n.</t>
        </is>
      </c>
      <c r="D15" s="7" t="inlineStr">
        <is>
          <t>Motivo della trasferta</t>
        </is>
      </c>
      <c r="E15" s="7" t="inlineStr">
        <is>
          <t>Partenza (comune)</t>
        </is>
      </c>
      <c r="F15" s="7" t="inlineStr">
        <is>
          <t>Destinazione (comune)</t>
        </is>
      </c>
      <c r="G15" s="7" t="inlineStr">
        <is>
          <t>Km andata e ritorno</t>
        </is>
      </c>
      <c r="H15" s="7" t="inlineStr">
        <is>
          <t>Rimborso km (€)</t>
        </is>
      </c>
      <c r="I15" s="7" t="inlineStr">
        <is>
          <t>Pedaggi (€)</t>
        </is>
      </c>
      <c r="J15" s="7" t="inlineStr">
        <is>
          <t>Parcheggi (€)</t>
        </is>
      </c>
      <c r="K15" s="7" t="inlineStr">
        <is>
          <t>Vitto (€)</t>
        </is>
      </c>
      <c r="L15" s="7" t="inlineStr">
        <is>
          <t>Alloggio (€)</t>
        </is>
      </c>
      <c r="M15" s="7" t="inlineStr">
        <is>
          <t>Taxi / treno / bus (€)</t>
        </is>
      </c>
      <c r="N15" s="7" t="inlineStr">
        <is>
          <t>Pagato con mezzo tracciabile (S/N)</t>
        </is>
      </c>
      <c r="O15" s="7" t="inlineStr">
        <is>
          <t>N. allegati</t>
        </is>
      </c>
      <c r="P15" s="7" t="inlineStr">
        <is>
          <t>Totale riga (€)</t>
        </is>
      </c>
      <c r="Q15" s="7" t="inlineStr">
        <is>
          <t>Controllo</t>
        </is>
      </c>
    </row>
    <row r="16">
      <c r="A16" s="32" t="n">
        <v>46093</v>
      </c>
      <c r="B16" s="9" t="inlineStr">
        <is>
          <t>Rossi S.r.l. (ESEMPIO: cancellare)</t>
        </is>
      </c>
      <c r="C16" s="9" t="inlineStr">
        <is>
          <t>FatturaLab 2026/123</t>
        </is>
      </c>
      <c r="D16" s="9" t="inlineStr">
        <is>
          <t>Sopralluogo aggiornamento DVR</t>
        </is>
      </c>
      <c r="E16" s="9" t="inlineStr">
        <is>
          <t>Villafranca di Verona</t>
        </is>
      </c>
      <c r="F16" s="9" t="inlineStr">
        <is>
          <t>Vicenza</t>
        </is>
      </c>
      <c r="G16" s="9" t="n">
        <v>150</v>
      </c>
      <c r="H16" s="33">
        <f>IF(G16="","",ROUND(G16*$C$11,2))</f>
        <v/>
      </c>
      <c r="I16" s="34" t="n">
        <v>10.4</v>
      </c>
      <c r="J16" s="34" t="n">
        <v>0</v>
      </c>
      <c r="K16" s="34" t="n">
        <v>18</v>
      </c>
      <c r="L16" s="34" t="n">
        <v>0</v>
      </c>
      <c r="M16" s="34" t="n">
        <v>0</v>
      </c>
      <c r="N16" s="9" t="inlineStr">
        <is>
          <t>S</t>
        </is>
      </c>
      <c r="O16" s="9" t="n">
        <v>3</v>
      </c>
      <c r="P16" s="33">
        <f>IF(A16="","",N(H16)+SUM(I16:M16))</f>
        <v/>
      </c>
      <c r="Q16" s="12">
        <f>IF(A16="","",IF(ISNUMBER(SEARCH("ESEMPIO",B16)),"ESEMPIO: cancellare la riga",IF(OR(F16="",C16=""),"MANCA destinazione o commessa",IF(OR(LOWER(TRIM(F16))=LOWER(TRIM($C$7)),ISNUMBER(SEARCH(","&amp;LOWER(TRIM(F16))&amp;",",","&amp;LOWER(SUBSTITUTE($C$13," ",""))&amp;","))),"NO: trasferta nel comune della sede (o frazione)",IF(AND(SUM(K16:M16)&gt;0,UPPER(N16)&lt;&gt;"S"),"NO: vitto/alloggio/taxi non tracciabile",IF(O16&lt;1,"MANCA allegato","OK"))))))</f>
        <v/>
      </c>
    </row>
    <row r="17">
      <c r="A17" s="35" t="n"/>
      <c r="B17" s="4" t="n"/>
      <c r="C17" s="4" t="n"/>
      <c r="D17" s="4" t="n"/>
      <c r="E17" s="4" t="n"/>
      <c r="F17" s="4" t="n"/>
      <c r="G17" s="4" t="n"/>
      <c r="H17" s="36">
        <f>IF(G17="","",ROUND(G17*$C$11,2))</f>
        <v/>
      </c>
      <c r="I17" s="37" t="n"/>
      <c r="J17" s="37" t="n"/>
      <c r="K17" s="37" t="n"/>
      <c r="L17" s="37" t="n"/>
      <c r="M17" s="37" t="n"/>
      <c r="N17" s="4" t="n"/>
      <c r="O17" s="4" t="n"/>
      <c r="P17" s="36">
        <f>IF(A17="","",N(H17)+SUM(I17:M17))</f>
        <v/>
      </c>
      <c r="Q17" s="16">
        <f>IF(A17="","",IF(ISNUMBER(SEARCH("ESEMPIO",B17)),"ESEMPIO: cancellare la riga",IF(OR(F17="",C17=""),"MANCA destinazione o commessa",IF(OR(LOWER(TRIM(F17))=LOWER(TRIM($C$7)),ISNUMBER(SEARCH(","&amp;LOWER(TRIM(F17))&amp;",",","&amp;LOWER(SUBSTITUTE($C$13," ",""))&amp;","))),"NO: trasferta nel comune della sede (o frazione)",IF(AND(SUM(K17:M17)&gt;0,UPPER(N17)&lt;&gt;"S"),"NO: vitto/alloggio/taxi non tracciabile",IF(O17&lt;1,"MANCA allegato","OK"))))))</f>
        <v/>
      </c>
    </row>
    <row r="18">
      <c r="A18" s="35" t="n"/>
      <c r="B18" s="4" t="n"/>
      <c r="C18" s="4" t="n"/>
      <c r="D18" s="4" t="n"/>
      <c r="E18" s="4" t="n"/>
      <c r="F18" s="4" t="n"/>
      <c r="G18" s="4" t="n"/>
      <c r="H18" s="36">
        <f>IF(G18="","",ROUND(G18*$C$11,2))</f>
        <v/>
      </c>
      <c r="I18" s="37" t="n"/>
      <c r="J18" s="37" t="n"/>
      <c r="K18" s="37" t="n"/>
      <c r="L18" s="37" t="n"/>
      <c r="M18" s="37" t="n"/>
      <c r="N18" s="4" t="n"/>
      <c r="O18" s="4" t="n"/>
      <c r="P18" s="36">
        <f>IF(A18="","",N(H18)+SUM(I18:M18))</f>
        <v/>
      </c>
      <c r="Q18" s="16">
        <f>IF(A18="","",IF(ISNUMBER(SEARCH("ESEMPIO",B18)),"ESEMPIO: cancellare la riga",IF(OR(F18="",C18=""),"MANCA destinazione o commessa",IF(OR(LOWER(TRIM(F18))=LOWER(TRIM($C$7)),ISNUMBER(SEARCH(","&amp;LOWER(TRIM(F18))&amp;",",","&amp;LOWER(SUBSTITUTE($C$13," ",""))&amp;","))),"NO: trasferta nel comune della sede (o frazione)",IF(AND(SUM(K18:M18)&gt;0,UPPER(N18)&lt;&gt;"S"),"NO: vitto/alloggio/taxi non tracciabile",IF(O18&lt;1,"MANCA allegato","OK"))))))</f>
        <v/>
      </c>
    </row>
    <row r="19">
      <c r="A19" s="35" t="n"/>
      <c r="B19" s="4" t="n"/>
      <c r="C19" s="4" t="n"/>
      <c r="D19" s="4" t="n"/>
      <c r="E19" s="4" t="n"/>
      <c r="F19" s="4" t="n"/>
      <c r="G19" s="4" t="n"/>
      <c r="H19" s="36">
        <f>IF(G19="","",ROUND(G19*$C$11,2))</f>
        <v/>
      </c>
      <c r="I19" s="37" t="n"/>
      <c r="J19" s="37" t="n"/>
      <c r="K19" s="37" t="n"/>
      <c r="L19" s="37" t="n"/>
      <c r="M19" s="37" t="n"/>
      <c r="N19" s="4" t="n"/>
      <c r="O19" s="4" t="n"/>
      <c r="P19" s="36">
        <f>IF(A19="","",N(H19)+SUM(I19:M19))</f>
        <v/>
      </c>
      <c r="Q19" s="16">
        <f>IF(A19="","",IF(ISNUMBER(SEARCH("ESEMPIO",B19)),"ESEMPIO: cancellare la riga",IF(OR(F19="",C19=""),"MANCA destinazione o commessa",IF(OR(LOWER(TRIM(F19))=LOWER(TRIM($C$7)),ISNUMBER(SEARCH(","&amp;LOWER(TRIM(F19))&amp;",",","&amp;LOWER(SUBSTITUTE($C$13," ",""))&amp;","))),"NO: trasferta nel comune della sede (o frazione)",IF(AND(SUM(K19:M19)&gt;0,UPPER(N19)&lt;&gt;"S"),"NO: vitto/alloggio/taxi non tracciabile",IF(O19&lt;1,"MANCA allegato","OK"))))))</f>
        <v/>
      </c>
    </row>
    <row r="20">
      <c r="A20" s="35" t="n"/>
      <c r="B20" s="4" t="n"/>
      <c r="C20" s="4" t="n"/>
      <c r="D20" s="4" t="n"/>
      <c r="E20" s="4" t="n"/>
      <c r="F20" s="4" t="n"/>
      <c r="G20" s="4" t="n"/>
      <c r="H20" s="36">
        <f>IF(G20="","",ROUND(G20*$C$11,2))</f>
        <v/>
      </c>
      <c r="I20" s="37" t="n"/>
      <c r="J20" s="37" t="n"/>
      <c r="K20" s="37" t="n"/>
      <c r="L20" s="37" t="n"/>
      <c r="M20" s="37" t="n"/>
      <c r="N20" s="4" t="n"/>
      <c r="O20" s="4" t="n"/>
      <c r="P20" s="36">
        <f>IF(A20="","",N(H20)+SUM(I20:M20))</f>
        <v/>
      </c>
      <c r="Q20" s="16">
        <f>IF(A20="","",IF(ISNUMBER(SEARCH("ESEMPIO",B20)),"ESEMPIO: cancellare la riga",IF(OR(F20="",C20=""),"MANCA destinazione o commessa",IF(OR(LOWER(TRIM(F20))=LOWER(TRIM($C$7)),ISNUMBER(SEARCH(","&amp;LOWER(TRIM(F20))&amp;",",","&amp;LOWER(SUBSTITUTE($C$13," ",""))&amp;","))),"NO: trasferta nel comune della sede (o frazione)",IF(AND(SUM(K20:M20)&gt;0,UPPER(N20)&lt;&gt;"S"),"NO: vitto/alloggio/taxi non tracciabile",IF(O20&lt;1,"MANCA allegato","OK"))))))</f>
        <v/>
      </c>
    </row>
    <row r="21">
      <c r="A21" s="35" t="n"/>
      <c r="B21" s="4" t="n"/>
      <c r="C21" s="4" t="n"/>
      <c r="D21" s="4" t="n"/>
      <c r="E21" s="4" t="n"/>
      <c r="F21" s="4" t="n"/>
      <c r="G21" s="4" t="n"/>
      <c r="H21" s="36">
        <f>IF(G21="","",ROUND(G21*$C$11,2))</f>
        <v/>
      </c>
      <c r="I21" s="37" t="n"/>
      <c r="J21" s="37" t="n"/>
      <c r="K21" s="37" t="n"/>
      <c r="L21" s="37" t="n"/>
      <c r="M21" s="37" t="n"/>
      <c r="N21" s="4" t="n"/>
      <c r="O21" s="4" t="n"/>
      <c r="P21" s="36">
        <f>IF(A21="","",N(H21)+SUM(I21:M21))</f>
        <v/>
      </c>
      <c r="Q21" s="16">
        <f>IF(A21="","",IF(ISNUMBER(SEARCH("ESEMPIO",B21)),"ESEMPIO: cancellare la riga",IF(OR(F21="",C21=""),"MANCA destinazione o commessa",IF(OR(LOWER(TRIM(F21))=LOWER(TRIM($C$7)),ISNUMBER(SEARCH(","&amp;LOWER(TRIM(F21))&amp;",",","&amp;LOWER(SUBSTITUTE($C$13," ",""))&amp;","))),"NO: trasferta nel comune della sede (o frazione)",IF(AND(SUM(K21:M21)&gt;0,UPPER(N21)&lt;&gt;"S"),"NO: vitto/alloggio/taxi non tracciabile",IF(O21&lt;1,"MANCA allegato","OK"))))))</f>
        <v/>
      </c>
    </row>
    <row r="22">
      <c r="A22" s="35" t="n"/>
      <c r="B22" s="4" t="n"/>
      <c r="C22" s="4" t="n"/>
      <c r="D22" s="4" t="n"/>
      <c r="E22" s="4" t="n"/>
      <c r="F22" s="4" t="n"/>
      <c r="G22" s="4" t="n"/>
      <c r="H22" s="36">
        <f>IF(G22="","",ROUND(G22*$C$11,2))</f>
        <v/>
      </c>
      <c r="I22" s="37" t="n"/>
      <c r="J22" s="37" t="n"/>
      <c r="K22" s="37" t="n"/>
      <c r="L22" s="37" t="n"/>
      <c r="M22" s="37" t="n"/>
      <c r="N22" s="4" t="n"/>
      <c r="O22" s="4" t="n"/>
      <c r="P22" s="36">
        <f>IF(A22="","",N(H22)+SUM(I22:M22))</f>
        <v/>
      </c>
      <c r="Q22" s="16">
        <f>IF(A22="","",IF(ISNUMBER(SEARCH("ESEMPIO",B22)),"ESEMPIO: cancellare la riga",IF(OR(F22="",C22=""),"MANCA destinazione o commessa",IF(OR(LOWER(TRIM(F22))=LOWER(TRIM($C$7)),ISNUMBER(SEARCH(","&amp;LOWER(TRIM(F22))&amp;",",","&amp;LOWER(SUBSTITUTE($C$13," ",""))&amp;","))),"NO: trasferta nel comune della sede (o frazione)",IF(AND(SUM(K22:M22)&gt;0,UPPER(N22)&lt;&gt;"S"),"NO: vitto/alloggio/taxi non tracciabile",IF(O22&lt;1,"MANCA allegato","OK"))))))</f>
        <v/>
      </c>
    </row>
    <row r="23">
      <c r="A23" s="35" t="n"/>
      <c r="B23" s="4" t="n"/>
      <c r="C23" s="4" t="n"/>
      <c r="D23" s="4" t="n"/>
      <c r="E23" s="4" t="n"/>
      <c r="F23" s="4" t="n"/>
      <c r="G23" s="4" t="n"/>
      <c r="H23" s="36">
        <f>IF(G23="","",ROUND(G23*$C$11,2))</f>
        <v/>
      </c>
      <c r="I23" s="37" t="n"/>
      <c r="J23" s="37" t="n"/>
      <c r="K23" s="37" t="n"/>
      <c r="L23" s="37" t="n"/>
      <c r="M23" s="37" t="n"/>
      <c r="N23" s="4" t="n"/>
      <c r="O23" s="4" t="n"/>
      <c r="P23" s="36">
        <f>IF(A23="","",N(H23)+SUM(I23:M23))</f>
        <v/>
      </c>
      <c r="Q23" s="16">
        <f>IF(A23="","",IF(ISNUMBER(SEARCH("ESEMPIO",B23)),"ESEMPIO: cancellare la riga",IF(OR(F23="",C23=""),"MANCA destinazione o commessa",IF(OR(LOWER(TRIM(F23))=LOWER(TRIM($C$7)),ISNUMBER(SEARCH(","&amp;LOWER(TRIM(F23))&amp;",",","&amp;LOWER(SUBSTITUTE($C$13," ",""))&amp;","))),"NO: trasferta nel comune della sede (o frazione)",IF(AND(SUM(K23:M23)&gt;0,UPPER(N23)&lt;&gt;"S"),"NO: vitto/alloggio/taxi non tracciabile",IF(O23&lt;1,"MANCA allegato","OK"))))))</f>
        <v/>
      </c>
    </row>
    <row r="24">
      <c r="A24" s="35" t="n"/>
      <c r="B24" s="4" t="n"/>
      <c r="C24" s="4" t="n"/>
      <c r="D24" s="4" t="n"/>
      <c r="E24" s="4" t="n"/>
      <c r="F24" s="4" t="n"/>
      <c r="G24" s="4" t="n"/>
      <c r="H24" s="36">
        <f>IF(G24="","",ROUND(G24*$C$11,2))</f>
        <v/>
      </c>
      <c r="I24" s="37" t="n"/>
      <c r="J24" s="37" t="n"/>
      <c r="K24" s="37" t="n"/>
      <c r="L24" s="37" t="n"/>
      <c r="M24" s="37" t="n"/>
      <c r="N24" s="4" t="n"/>
      <c r="O24" s="4" t="n"/>
      <c r="P24" s="36">
        <f>IF(A24="","",N(H24)+SUM(I24:M24))</f>
        <v/>
      </c>
      <c r="Q24" s="16">
        <f>IF(A24="","",IF(ISNUMBER(SEARCH("ESEMPIO",B24)),"ESEMPIO: cancellare la riga",IF(OR(F24="",C24=""),"MANCA destinazione o commessa",IF(OR(LOWER(TRIM(F24))=LOWER(TRIM($C$7)),ISNUMBER(SEARCH(","&amp;LOWER(TRIM(F24))&amp;",",","&amp;LOWER(SUBSTITUTE($C$13," ",""))&amp;","))),"NO: trasferta nel comune della sede (o frazione)",IF(AND(SUM(K24:M24)&gt;0,UPPER(N24)&lt;&gt;"S"),"NO: vitto/alloggio/taxi non tracciabile",IF(O24&lt;1,"MANCA allegato","OK"))))))</f>
        <v/>
      </c>
    </row>
    <row r="25">
      <c r="A25" s="35" t="n"/>
      <c r="B25" s="4" t="n"/>
      <c r="C25" s="4" t="n"/>
      <c r="D25" s="4" t="n"/>
      <c r="E25" s="4" t="n"/>
      <c r="F25" s="4" t="n"/>
      <c r="G25" s="4" t="n"/>
      <c r="H25" s="36">
        <f>IF(G25="","",ROUND(G25*$C$11,2))</f>
        <v/>
      </c>
      <c r="I25" s="37" t="n"/>
      <c r="J25" s="37" t="n"/>
      <c r="K25" s="37" t="n"/>
      <c r="L25" s="37" t="n"/>
      <c r="M25" s="37" t="n"/>
      <c r="N25" s="4" t="n"/>
      <c r="O25" s="4" t="n"/>
      <c r="P25" s="36">
        <f>IF(A25="","",N(H25)+SUM(I25:M25))</f>
        <v/>
      </c>
      <c r="Q25" s="16">
        <f>IF(A25="","",IF(ISNUMBER(SEARCH("ESEMPIO",B25)),"ESEMPIO: cancellare la riga",IF(OR(F25="",C25=""),"MANCA destinazione o commessa",IF(OR(LOWER(TRIM(F25))=LOWER(TRIM($C$7)),ISNUMBER(SEARCH(","&amp;LOWER(TRIM(F25))&amp;",",","&amp;LOWER(SUBSTITUTE($C$13," ",""))&amp;","))),"NO: trasferta nel comune della sede (o frazione)",IF(AND(SUM(K25:M25)&gt;0,UPPER(N25)&lt;&gt;"S"),"NO: vitto/alloggio/taxi non tracciabile",IF(O25&lt;1,"MANCA allegato","OK"))))))</f>
        <v/>
      </c>
    </row>
    <row r="26">
      <c r="A26" s="35" t="n"/>
      <c r="B26" s="4" t="n"/>
      <c r="C26" s="4" t="n"/>
      <c r="D26" s="4" t="n"/>
      <c r="E26" s="4" t="n"/>
      <c r="F26" s="4" t="n"/>
      <c r="G26" s="4" t="n"/>
      <c r="H26" s="36">
        <f>IF(G26="","",ROUND(G26*$C$11,2))</f>
        <v/>
      </c>
      <c r="I26" s="37" t="n"/>
      <c r="J26" s="37" t="n"/>
      <c r="K26" s="37" t="n"/>
      <c r="L26" s="37" t="n"/>
      <c r="M26" s="37" t="n"/>
      <c r="N26" s="4" t="n"/>
      <c r="O26" s="4" t="n"/>
      <c r="P26" s="36">
        <f>IF(A26="","",N(H26)+SUM(I26:M26))</f>
        <v/>
      </c>
      <c r="Q26" s="16">
        <f>IF(A26="","",IF(ISNUMBER(SEARCH("ESEMPIO",B26)),"ESEMPIO: cancellare la riga",IF(OR(F26="",C26=""),"MANCA destinazione o commessa",IF(OR(LOWER(TRIM(F26))=LOWER(TRIM($C$7)),ISNUMBER(SEARCH(","&amp;LOWER(TRIM(F26))&amp;",",","&amp;LOWER(SUBSTITUTE($C$13," ",""))&amp;","))),"NO: trasferta nel comune della sede (o frazione)",IF(AND(SUM(K26:M26)&gt;0,UPPER(N26)&lt;&gt;"S"),"NO: vitto/alloggio/taxi non tracciabile",IF(O26&lt;1,"MANCA allegato","OK"))))))</f>
        <v/>
      </c>
    </row>
    <row r="27">
      <c r="A27" s="35" t="n"/>
      <c r="B27" s="4" t="n"/>
      <c r="C27" s="4" t="n"/>
      <c r="D27" s="4" t="n"/>
      <c r="E27" s="4" t="n"/>
      <c r="F27" s="4" t="n"/>
      <c r="G27" s="4" t="n"/>
      <c r="H27" s="36">
        <f>IF(G27="","",ROUND(G27*$C$11,2))</f>
        <v/>
      </c>
      <c r="I27" s="37" t="n"/>
      <c r="J27" s="37" t="n"/>
      <c r="K27" s="37" t="n"/>
      <c r="L27" s="37" t="n"/>
      <c r="M27" s="37" t="n"/>
      <c r="N27" s="4" t="n"/>
      <c r="O27" s="4" t="n"/>
      <c r="P27" s="36">
        <f>IF(A27="","",N(H27)+SUM(I27:M27))</f>
        <v/>
      </c>
      <c r="Q27" s="16">
        <f>IF(A27="","",IF(ISNUMBER(SEARCH("ESEMPIO",B27)),"ESEMPIO: cancellare la riga",IF(OR(F27="",C27=""),"MANCA destinazione o commessa",IF(OR(LOWER(TRIM(F27))=LOWER(TRIM($C$7)),ISNUMBER(SEARCH(","&amp;LOWER(TRIM(F27))&amp;",",","&amp;LOWER(SUBSTITUTE($C$13," ",""))&amp;","))),"NO: trasferta nel comune della sede (o frazione)",IF(AND(SUM(K27:M27)&gt;0,UPPER(N27)&lt;&gt;"S"),"NO: vitto/alloggio/taxi non tracciabile",IF(O27&lt;1,"MANCA allegato","OK"))))))</f>
        <v/>
      </c>
    </row>
    <row r="28">
      <c r="A28" s="35" t="n"/>
      <c r="B28" s="4" t="n"/>
      <c r="C28" s="4" t="n"/>
      <c r="D28" s="4" t="n"/>
      <c r="E28" s="4" t="n"/>
      <c r="F28" s="4" t="n"/>
      <c r="G28" s="4" t="n"/>
      <c r="H28" s="36">
        <f>IF(G28="","",ROUND(G28*$C$11,2))</f>
        <v/>
      </c>
      <c r="I28" s="37" t="n"/>
      <c r="J28" s="37" t="n"/>
      <c r="K28" s="37" t="n"/>
      <c r="L28" s="37" t="n"/>
      <c r="M28" s="37" t="n"/>
      <c r="N28" s="4" t="n"/>
      <c r="O28" s="4" t="n"/>
      <c r="P28" s="36">
        <f>IF(A28="","",N(H28)+SUM(I28:M28))</f>
        <v/>
      </c>
      <c r="Q28" s="16">
        <f>IF(A28="","",IF(ISNUMBER(SEARCH("ESEMPIO",B28)),"ESEMPIO: cancellare la riga",IF(OR(F28="",C28=""),"MANCA destinazione o commessa",IF(OR(LOWER(TRIM(F28))=LOWER(TRIM($C$7)),ISNUMBER(SEARCH(","&amp;LOWER(TRIM(F28))&amp;",",","&amp;LOWER(SUBSTITUTE($C$13," ",""))&amp;","))),"NO: trasferta nel comune della sede (o frazione)",IF(AND(SUM(K28:M28)&gt;0,UPPER(N28)&lt;&gt;"S"),"NO: vitto/alloggio/taxi non tracciabile",IF(O28&lt;1,"MANCA allegato","OK"))))))</f>
        <v/>
      </c>
    </row>
    <row r="29">
      <c r="A29" s="35" t="n"/>
      <c r="B29" s="4" t="n"/>
      <c r="C29" s="4" t="n"/>
      <c r="D29" s="4" t="n"/>
      <c r="E29" s="4" t="n"/>
      <c r="F29" s="4" t="n"/>
      <c r="G29" s="4" t="n"/>
      <c r="H29" s="36">
        <f>IF(G29="","",ROUND(G29*$C$11,2))</f>
        <v/>
      </c>
      <c r="I29" s="37" t="n"/>
      <c r="J29" s="37" t="n"/>
      <c r="K29" s="37" t="n"/>
      <c r="L29" s="37" t="n"/>
      <c r="M29" s="37" t="n"/>
      <c r="N29" s="4" t="n"/>
      <c r="O29" s="4" t="n"/>
      <c r="P29" s="36">
        <f>IF(A29="","",N(H29)+SUM(I29:M29))</f>
        <v/>
      </c>
      <c r="Q29" s="16">
        <f>IF(A29="","",IF(ISNUMBER(SEARCH("ESEMPIO",B29)),"ESEMPIO: cancellare la riga",IF(OR(F29="",C29=""),"MANCA destinazione o commessa",IF(OR(LOWER(TRIM(F29))=LOWER(TRIM($C$7)),ISNUMBER(SEARCH(","&amp;LOWER(TRIM(F29))&amp;",",","&amp;LOWER(SUBSTITUTE($C$13," ",""))&amp;","))),"NO: trasferta nel comune della sede (o frazione)",IF(AND(SUM(K29:M29)&gt;0,UPPER(N29)&lt;&gt;"S"),"NO: vitto/alloggio/taxi non tracciabile",IF(O29&lt;1,"MANCA allegato","OK"))))))</f>
        <v/>
      </c>
    </row>
    <row r="30">
      <c r="A30" s="35" t="n"/>
      <c r="B30" s="4" t="n"/>
      <c r="C30" s="4" t="n"/>
      <c r="D30" s="4" t="n"/>
      <c r="E30" s="4" t="n"/>
      <c r="F30" s="4" t="n"/>
      <c r="G30" s="4" t="n"/>
      <c r="H30" s="36">
        <f>IF(G30="","",ROUND(G30*$C$11,2))</f>
        <v/>
      </c>
      <c r="I30" s="37" t="n"/>
      <c r="J30" s="37" t="n"/>
      <c r="K30" s="37" t="n"/>
      <c r="L30" s="37" t="n"/>
      <c r="M30" s="37" t="n"/>
      <c r="N30" s="4" t="n"/>
      <c r="O30" s="4" t="n"/>
      <c r="P30" s="36">
        <f>IF(A30="","",N(H30)+SUM(I30:M30))</f>
        <v/>
      </c>
      <c r="Q30" s="16">
        <f>IF(A30="","",IF(ISNUMBER(SEARCH("ESEMPIO",B30)),"ESEMPIO: cancellare la riga",IF(OR(F30="",C30=""),"MANCA destinazione o commessa",IF(OR(LOWER(TRIM(F30))=LOWER(TRIM($C$7)),ISNUMBER(SEARCH(","&amp;LOWER(TRIM(F30))&amp;",",","&amp;LOWER(SUBSTITUTE($C$13," ",""))&amp;","))),"NO: trasferta nel comune della sede (o frazione)",IF(AND(SUM(K30:M30)&gt;0,UPPER(N30)&lt;&gt;"S"),"NO: vitto/alloggio/taxi non tracciabile",IF(O30&lt;1,"MANCA allegato","OK"))))))</f>
        <v/>
      </c>
    </row>
    <row r="31">
      <c r="A31" s="35" t="n"/>
      <c r="B31" s="4" t="n"/>
      <c r="C31" s="4" t="n"/>
      <c r="D31" s="4" t="n"/>
      <c r="E31" s="4" t="n"/>
      <c r="F31" s="4" t="n"/>
      <c r="G31" s="4" t="n"/>
      <c r="H31" s="36">
        <f>IF(G31="","",ROUND(G31*$C$11,2))</f>
        <v/>
      </c>
      <c r="I31" s="37" t="n"/>
      <c r="J31" s="37" t="n"/>
      <c r="K31" s="37" t="n"/>
      <c r="L31" s="37" t="n"/>
      <c r="M31" s="37" t="n"/>
      <c r="N31" s="4" t="n"/>
      <c r="O31" s="4" t="n"/>
      <c r="P31" s="36">
        <f>IF(A31="","",N(H31)+SUM(I31:M31))</f>
        <v/>
      </c>
      <c r="Q31" s="16">
        <f>IF(A31="","",IF(ISNUMBER(SEARCH("ESEMPIO",B31)),"ESEMPIO: cancellare la riga",IF(OR(F31="",C31=""),"MANCA destinazione o commessa",IF(OR(LOWER(TRIM(F31))=LOWER(TRIM($C$7)),ISNUMBER(SEARCH(","&amp;LOWER(TRIM(F31))&amp;",",","&amp;LOWER(SUBSTITUTE($C$13," ",""))&amp;","))),"NO: trasferta nel comune della sede (o frazione)",IF(AND(SUM(K31:M31)&gt;0,UPPER(N31)&lt;&gt;"S"),"NO: vitto/alloggio/taxi non tracciabile",IF(O31&lt;1,"MANCA allegato","OK"))))))</f>
        <v/>
      </c>
    </row>
    <row r="32">
      <c r="A32" s="35" t="n"/>
      <c r="B32" s="4" t="n"/>
      <c r="C32" s="4" t="n"/>
      <c r="D32" s="4" t="n"/>
      <c r="E32" s="4" t="n"/>
      <c r="F32" s="4" t="n"/>
      <c r="G32" s="4" t="n"/>
      <c r="H32" s="36">
        <f>IF(G32="","",ROUND(G32*$C$11,2))</f>
        <v/>
      </c>
      <c r="I32" s="37" t="n"/>
      <c r="J32" s="37" t="n"/>
      <c r="K32" s="37" t="n"/>
      <c r="L32" s="37" t="n"/>
      <c r="M32" s="37" t="n"/>
      <c r="N32" s="4" t="n"/>
      <c r="O32" s="4" t="n"/>
      <c r="P32" s="36">
        <f>IF(A32="","",N(H32)+SUM(I32:M32))</f>
        <v/>
      </c>
      <c r="Q32" s="16">
        <f>IF(A32="","",IF(ISNUMBER(SEARCH("ESEMPIO",B32)),"ESEMPIO: cancellare la riga",IF(OR(F32="",C32=""),"MANCA destinazione o commessa",IF(OR(LOWER(TRIM(F32))=LOWER(TRIM($C$7)),ISNUMBER(SEARCH(","&amp;LOWER(TRIM(F32))&amp;",",","&amp;LOWER(SUBSTITUTE($C$13," ",""))&amp;","))),"NO: trasferta nel comune della sede (o frazione)",IF(AND(SUM(K32:M32)&gt;0,UPPER(N32)&lt;&gt;"S"),"NO: vitto/alloggio/taxi non tracciabile",IF(O32&lt;1,"MANCA allegato","OK"))))))</f>
        <v/>
      </c>
    </row>
    <row r="33">
      <c r="A33" s="35" t="n"/>
      <c r="B33" s="4" t="n"/>
      <c r="C33" s="4" t="n"/>
      <c r="D33" s="4" t="n"/>
      <c r="E33" s="4" t="n"/>
      <c r="F33" s="4" t="n"/>
      <c r="G33" s="4" t="n"/>
      <c r="H33" s="36">
        <f>IF(G33="","",ROUND(G33*$C$11,2))</f>
        <v/>
      </c>
      <c r="I33" s="37" t="n"/>
      <c r="J33" s="37" t="n"/>
      <c r="K33" s="37" t="n"/>
      <c r="L33" s="37" t="n"/>
      <c r="M33" s="37" t="n"/>
      <c r="N33" s="4" t="n"/>
      <c r="O33" s="4" t="n"/>
      <c r="P33" s="36">
        <f>IF(A33="","",N(H33)+SUM(I33:M33))</f>
        <v/>
      </c>
      <c r="Q33" s="16">
        <f>IF(A33="","",IF(ISNUMBER(SEARCH("ESEMPIO",B33)),"ESEMPIO: cancellare la riga",IF(OR(F33="",C33=""),"MANCA destinazione o commessa",IF(OR(LOWER(TRIM(F33))=LOWER(TRIM($C$7)),ISNUMBER(SEARCH(","&amp;LOWER(TRIM(F33))&amp;",",","&amp;LOWER(SUBSTITUTE($C$13," ",""))&amp;","))),"NO: trasferta nel comune della sede (o frazione)",IF(AND(SUM(K33:M33)&gt;0,UPPER(N33)&lt;&gt;"S"),"NO: vitto/alloggio/taxi non tracciabile",IF(O33&lt;1,"MANCA allegato","OK"))))))</f>
        <v/>
      </c>
    </row>
    <row r="34">
      <c r="A34" s="35" t="n"/>
      <c r="B34" s="4" t="n"/>
      <c r="C34" s="4" t="n"/>
      <c r="D34" s="4" t="n"/>
      <c r="E34" s="4" t="n"/>
      <c r="F34" s="4" t="n"/>
      <c r="G34" s="4" t="n"/>
      <c r="H34" s="36">
        <f>IF(G34="","",ROUND(G34*$C$11,2))</f>
        <v/>
      </c>
      <c r="I34" s="37" t="n"/>
      <c r="J34" s="37" t="n"/>
      <c r="K34" s="37" t="n"/>
      <c r="L34" s="37" t="n"/>
      <c r="M34" s="37" t="n"/>
      <c r="N34" s="4" t="n"/>
      <c r="O34" s="4" t="n"/>
      <c r="P34" s="36">
        <f>IF(A34="","",N(H34)+SUM(I34:M34))</f>
        <v/>
      </c>
      <c r="Q34" s="16">
        <f>IF(A34="","",IF(ISNUMBER(SEARCH("ESEMPIO",B34)),"ESEMPIO: cancellare la riga",IF(OR(F34="",C34=""),"MANCA destinazione o commessa",IF(OR(LOWER(TRIM(F34))=LOWER(TRIM($C$7)),ISNUMBER(SEARCH(","&amp;LOWER(TRIM(F34))&amp;",",","&amp;LOWER(SUBSTITUTE($C$13," ",""))&amp;","))),"NO: trasferta nel comune della sede (o frazione)",IF(AND(SUM(K34:M34)&gt;0,UPPER(N34)&lt;&gt;"S"),"NO: vitto/alloggio/taxi non tracciabile",IF(O34&lt;1,"MANCA allegato","OK"))))))</f>
        <v/>
      </c>
    </row>
    <row r="35">
      <c r="A35" s="35" t="n"/>
      <c r="B35" s="4" t="n"/>
      <c r="C35" s="4" t="n"/>
      <c r="D35" s="4" t="n"/>
      <c r="E35" s="4" t="n"/>
      <c r="F35" s="4" t="n"/>
      <c r="G35" s="4" t="n"/>
      <c r="H35" s="36">
        <f>IF(G35="","",ROUND(G35*$C$11,2))</f>
        <v/>
      </c>
      <c r="I35" s="37" t="n"/>
      <c r="J35" s="37" t="n"/>
      <c r="K35" s="37" t="n"/>
      <c r="L35" s="37" t="n"/>
      <c r="M35" s="37" t="n"/>
      <c r="N35" s="4" t="n"/>
      <c r="O35" s="4" t="n"/>
      <c r="P35" s="36">
        <f>IF(A35="","",N(H35)+SUM(I35:M35))</f>
        <v/>
      </c>
      <c r="Q35" s="16">
        <f>IF(A35="","",IF(ISNUMBER(SEARCH("ESEMPIO",B35)),"ESEMPIO: cancellare la riga",IF(OR(F35="",C35=""),"MANCA destinazione o commessa",IF(OR(LOWER(TRIM(F35))=LOWER(TRIM($C$7)),ISNUMBER(SEARCH(","&amp;LOWER(TRIM(F35))&amp;",",","&amp;LOWER(SUBSTITUTE($C$13," ",""))&amp;","))),"NO: trasferta nel comune della sede (o frazione)",IF(AND(SUM(K35:M35)&gt;0,UPPER(N35)&lt;&gt;"S"),"NO: vitto/alloggio/taxi non tracciabile",IF(O35&lt;1,"MANCA allegato","OK"))))))</f>
        <v/>
      </c>
    </row>
    <row r="36">
      <c r="A36" s="35" t="n"/>
      <c r="B36" s="4" t="n"/>
      <c r="C36" s="4" t="n"/>
      <c r="D36" s="4" t="n"/>
      <c r="E36" s="4" t="n"/>
      <c r="F36" s="4" t="n"/>
      <c r="G36" s="4" t="n"/>
      <c r="H36" s="36">
        <f>IF(G36="","",ROUND(G36*$C$11,2))</f>
        <v/>
      </c>
      <c r="I36" s="37" t="n"/>
      <c r="J36" s="37" t="n"/>
      <c r="K36" s="37" t="n"/>
      <c r="L36" s="37" t="n"/>
      <c r="M36" s="37" t="n"/>
      <c r="N36" s="4" t="n"/>
      <c r="O36" s="4" t="n"/>
      <c r="P36" s="36">
        <f>IF(A36="","",N(H36)+SUM(I36:M36))</f>
        <v/>
      </c>
      <c r="Q36" s="16">
        <f>IF(A36="","",IF(ISNUMBER(SEARCH("ESEMPIO",B36)),"ESEMPIO: cancellare la riga",IF(OR(F36="",C36=""),"MANCA destinazione o commessa",IF(OR(LOWER(TRIM(F36))=LOWER(TRIM($C$7)),ISNUMBER(SEARCH(","&amp;LOWER(TRIM(F36))&amp;",",","&amp;LOWER(SUBSTITUTE($C$13," ",""))&amp;","))),"NO: trasferta nel comune della sede (o frazione)",IF(AND(SUM(K36:M36)&gt;0,UPPER(N36)&lt;&gt;"S"),"NO: vitto/alloggio/taxi non tracciabile",IF(O36&lt;1,"MANCA allegato","OK"))))))</f>
        <v/>
      </c>
    </row>
    <row r="37">
      <c r="A37" s="35" t="n"/>
      <c r="B37" s="4" t="n"/>
      <c r="C37" s="4" t="n"/>
      <c r="D37" s="4" t="n"/>
      <c r="E37" s="4" t="n"/>
      <c r="F37" s="4" t="n"/>
      <c r="G37" s="4" t="n"/>
      <c r="H37" s="36">
        <f>IF(G37="","",ROUND(G37*$C$11,2))</f>
        <v/>
      </c>
      <c r="I37" s="37" t="n"/>
      <c r="J37" s="37" t="n"/>
      <c r="K37" s="37" t="n"/>
      <c r="L37" s="37" t="n"/>
      <c r="M37" s="37" t="n"/>
      <c r="N37" s="4" t="n"/>
      <c r="O37" s="4" t="n"/>
      <c r="P37" s="36">
        <f>IF(A37="","",N(H37)+SUM(I37:M37))</f>
        <v/>
      </c>
      <c r="Q37" s="16">
        <f>IF(A37="","",IF(ISNUMBER(SEARCH("ESEMPIO",B37)),"ESEMPIO: cancellare la riga",IF(OR(F37="",C37=""),"MANCA destinazione o commessa",IF(OR(LOWER(TRIM(F37))=LOWER(TRIM($C$7)),ISNUMBER(SEARCH(","&amp;LOWER(TRIM(F37))&amp;",",","&amp;LOWER(SUBSTITUTE($C$13," ",""))&amp;","))),"NO: trasferta nel comune della sede (o frazione)",IF(AND(SUM(K37:M37)&gt;0,UPPER(N37)&lt;&gt;"S"),"NO: vitto/alloggio/taxi non tracciabile",IF(O37&lt;1,"MANCA allegato","OK"))))))</f>
        <v/>
      </c>
    </row>
    <row r="38">
      <c r="A38" s="35" t="n"/>
      <c r="B38" s="4" t="n"/>
      <c r="C38" s="4" t="n"/>
      <c r="D38" s="4" t="n"/>
      <c r="E38" s="4" t="n"/>
      <c r="F38" s="4" t="n"/>
      <c r="G38" s="4" t="n"/>
      <c r="H38" s="36">
        <f>IF(G38="","",ROUND(G38*$C$11,2))</f>
        <v/>
      </c>
      <c r="I38" s="37" t="n"/>
      <c r="J38" s="37" t="n"/>
      <c r="K38" s="37" t="n"/>
      <c r="L38" s="37" t="n"/>
      <c r="M38" s="37" t="n"/>
      <c r="N38" s="4" t="n"/>
      <c r="O38" s="4" t="n"/>
      <c r="P38" s="36">
        <f>IF(A38="","",N(H38)+SUM(I38:M38))</f>
        <v/>
      </c>
      <c r="Q38" s="16">
        <f>IF(A38="","",IF(ISNUMBER(SEARCH("ESEMPIO",B38)),"ESEMPIO: cancellare la riga",IF(OR(F38="",C38=""),"MANCA destinazione o commessa",IF(OR(LOWER(TRIM(F38))=LOWER(TRIM($C$7)),ISNUMBER(SEARCH(","&amp;LOWER(TRIM(F38))&amp;",",","&amp;LOWER(SUBSTITUTE($C$13," ",""))&amp;","))),"NO: trasferta nel comune della sede (o frazione)",IF(AND(SUM(K38:M38)&gt;0,UPPER(N38)&lt;&gt;"S"),"NO: vitto/alloggio/taxi non tracciabile",IF(O38&lt;1,"MANCA allegato","OK"))))))</f>
        <v/>
      </c>
    </row>
    <row r="39">
      <c r="A39" s="35" t="n"/>
      <c r="B39" s="4" t="n"/>
      <c r="C39" s="4" t="n"/>
      <c r="D39" s="4" t="n"/>
      <c r="E39" s="4" t="n"/>
      <c r="F39" s="4" t="n"/>
      <c r="G39" s="4" t="n"/>
      <c r="H39" s="36">
        <f>IF(G39="","",ROUND(G39*$C$11,2))</f>
        <v/>
      </c>
      <c r="I39" s="37" t="n"/>
      <c r="J39" s="37" t="n"/>
      <c r="K39" s="37" t="n"/>
      <c r="L39" s="37" t="n"/>
      <c r="M39" s="37" t="n"/>
      <c r="N39" s="4" t="n"/>
      <c r="O39" s="4" t="n"/>
      <c r="P39" s="36">
        <f>IF(A39="","",N(H39)+SUM(I39:M39))</f>
        <v/>
      </c>
      <c r="Q39" s="16">
        <f>IF(A39="","",IF(ISNUMBER(SEARCH("ESEMPIO",B39)),"ESEMPIO: cancellare la riga",IF(OR(F39="",C39=""),"MANCA destinazione o commessa",IF(OR(LOWER(TRIM(F39))=LOWER(TRIM($C$7)),ISNUMBER(SEARCH(","&amp;LOWER(TRIM(F39))&amp;",",","&amp;LOWER(SUBSTITUTE($C$13," ",""))&amp;","))),"NO: trasferta nel comune della sede (o frazione)",IF(AND(SUM(K39:M39)&gt;0,UPPER(N39)&lt;&gt;"S"),"NO: vitto/alloggio/taxi non tracciabile",IF(O39&lt;1,"MANCA allegato","OK"))))))</f>
        <v/>
      </c>
    </row>
    <row r="40">
      <c r="A40" s="35" t="n"/>
      <c r="B40" s="4" t="n"/>
      <c r="C40" s="4" t="n"/>
      <c r="D40" s="4" t="n"/>
      <c r="E40" s="4" t="n"/>
      <c r="F40" s="4" t="n"/>
      <c r="G40" s="4" t="n"/>
      <c r="H40" s="36">
        <f>IF(G40="","",ROUND(G40*$C$11,2))</f>
        <v/>
      </c>
      <c r="I40" s="37" t="n"/>
      <c r="J40" s="37" t="n"/>
      <c r="K40" s="37" t="n"/>
      <c r="L40" s="37" t="n"/>
      <c r="M40" s="37" t="n"/>
      <c r="N40" s="4" t="n"/>
      <c r="O40" s="4" t="n"/>
      <c r="P40" s="36">
        <f>IF(A40="","",N(H40)+SUM(I40:M40))</f>
        <v/>
      </c>
      <c r="Q40" s="16">
        <f>IF(A40="","",IF(ISNUMBER(SEARCH("ESEMPIO",B40)),"ESEMPIO: cancellare la riga",IF(OR(F40="",C40=""),"MANCA destinazione o commessa",IF(OR(LOWER(TRIM(F40))=LOWER(TRIM($C$7)),ISNUMBER(SEARCH(","&amp;LOWER(TRIM(F40))&amp;",",","&amp;LOWER(SUBSTITUTE($C$13," ",""))&amp;","))),"NO: trasferta nel comune della sede (o frazione)",IF(AND(SUM(K40:M40)&gt;0,UPPER(N40)&lt;&gt;"S"),"NO: vitto/alloggio/taxi non tracciabile",IF(O40&lt;1,"MANCA allegato","OK"))))))</f>
        <v/>
      </c>
    </row>
    <row r="42">
      <c r="F42" s="3" t="inlineStr">
        <is>
          <t>TOTALI</t>
        </is>
      </c>
      <c r="G42" s="17">
        <f>SUM(G16:G40)</f>
        <v/>
      </c>
      <c r="H42" s="38">
        <f>SUM(H16:H40)</f>
        <v/>
      </c>
      <c r="I42" s="38">
        <f>SUM(I16:I40)</f>
        <v/>
      </c>
      <c r="J42" s="38">
        <f>SUM(J16:J40)</f>
        <v/>
      </c>
      <c r="K42" s="38">
        <f>SUM(K16:K40)</f>
        <v/>
      </c>
      <c r="L42" s="38">
        <f>SUM(L16:L40)</f>
        <v/>
      </c>
      <c r="M42" s="38">
        <f>SUM(M16:M40)</f>
        <v/>
      </c>
      <c r="P42" s="38">
        <f>SUM(P16:P40)</f>
        <v/>
      </c>
    </row>
    <row r="43">
      <c r="F43" s="3" t="inlineStr">
        <is>
          <t>TOTALE RIMBORSABILE (solo righe OK)</t>
        </is>
      </c>
      <c r="P43" s="39">
        <f>SUMIFS(P16:P40,Q16:Q40,"OK")</f>
        <v/>
      </c>
    </row>
    <row r="44">
      <c r="F44" s="3" t="inlineStr">
        <is>
          <t>Righe da correggere prima dell'approvazione</t>
        </is>
      </c>
      <c r="P44" s="20">
        <f>SUMPRODUCT((Q16:Q40&lt;&gt;"")*(LEFT(Q16:Q40,2)&lt;&gt;"OK"))</f>
        <v/>
      </c>
    </row>
    <row r="47">
      <c r="A47" s="3" t="inlineStr">
        <is>
          <t>Firma del beneficiario e data</t>
        </is>
      </c>
      <c r="C47" s="21" t="n"/>
      <c r="D47" s="21" t="n"/>
      <c r="E47" s="21" t="n"/>
      <c r="F47" s="21" t="n"/>
      <c r="G47" s="21" t="n"/>
    </row>
    <row r="49">
      <c r="A49" s="3" t="inlineStr">
        <is>
          <t>Approvato da (altro amministratore), firma e data</t>
        </is>
      </c>
      <c r="C49" s="21" t="n"/>
      <c r="D49" s="21" t="n"/>
      <c r="E49" s="21" t="n"/>
      <c r="F49" s="21" t="n"/>
      <c r="G49" s="21" t="n"/>
    </row>
    <row r="51">
      <c r="A51" s="3" t="inlineStr">
        <is>
          <t>Pagato con bonifico il / CRO</t>
        </is>
      </c>
      <c r="C51" s="21" t="n"/>
      <c r="D51" s="21" t="n"/>
      <c r="E51" s="21" t="n"/>
      <c r="F51" s="21" t="n"/>
      <c r="G51" s="21" t="n"/>
    </row>
    <row r="53">
      <c r="A53" s="3" t="inlineStr">
        <is>
          <t>Riportato nel cedolino del mese, voce</t>
        </is>
      </c>
      <c r="C53" s="21" t="n"/>
      <c r="D53" s="21" t="n"/>
      <c r="E53" s="21" t="n"/>
      <c r="F53" s="21" t="n"/>
      <c r="G53" s="21" t="n"/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1"/>
  <conditionalFormatting sqref="Q16:Q40">
    <cfRule type="expression" priority="1" dxfId="0">
      <formula>LEFT(Q16,2)="OK"</formula>
    </cfRule>
    <cfRule type="expression" priority="2" dxfId="1">
      <formula>AND(Q16&lt;&gt;"",LEFT(Q16,2)&lt;&gt;"OK")</formula>
    </cfRule>
  </conditionalFormatting>
  <dataValidations count="3">
    <dataValidation sqref="N16:N40" showDropDown="0" showInputMessage="0" showErrorMessage="0" allowBlank="1" type="list">
      <formula1>"S,N"</formula1>
    </dataValidation>
    <dataValidation sqref="A16:A40" showDropDown="0" showInputMessage="0" showErrorMessage="0" allowBlank="1" type="date" operator="greaterThan">
      <formula1>DATE(2020,1,1)</formula1>
    </dataValidation>
    <dataValidation sqref="G16:G40" showDropDown="0" showInputMessage="0" showErrorMessage="0" allowBlank="1" type="decimal" operator="between">
      <formula1>0</formula1>
      <formula2>2000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3"/>
  <sheetViews>
    <sheetView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28" customWidth="1" min="4" max="4"/>
    <col width="16" customWidth="1" min="5" max="5"/>
    <col width="16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11" customWidth="1" min="14" max="14"/>
    <col width="10" customWidth="1" min="15" max="15"/>
    <col width="12" customWidth="1" min="16" max="16"/>
    <col width="9" customWidth="1" min="17" max="17"/>
    <col width="11" customWidth="1" min="18" max="18"/>
    <col width="34" customWidth="1" min="19" max="19"/>
  </cols>
  <sheetData>
    <row r="1">
      <c r="A1" s="1" t="inlineStr">
        <is>
          <t>NOTA SPESE MENSILE — INDENNITÀ FORFETTARIA DI TRASFERTA</t>
        </is>
      </c>
    </row>
    <row r="2">
      <c r="A2" s="2" t="inlineStr">
        <is>
          <t>Alternativa al foglio «Nota spese»: solo per rimborsare trasferte reali, e solo se il regolamento trasferte approvato dai soci prevede l'indennità forfettaria. Non è un'integrazione del compenso.</t>
        </is>
      </c>
    </row>
    <row r="4">
      <c r="A4" s="3" t="inlineStr">
        <is>
          <t>Beneficiario</t>
        </is>
      </c>
      <c r="C4" s="22">
        <f>'Nota spese'!C4</f>
        <v/>
      </c>
    </row>
    <row r="5">
      <c r="A5" s="3" t="inlineStr">
        <is>
          <t>Mese di riferimento</t>
        </is>
      </c>
      <c r="C5" s="40">
        <f>'Nota spese'!C6</f>
        <v/>
      </c>
    </row>
    <row r="6">
      <c r="A6" s="3" t="inlineStr">
        <is>
          <t>Sede di lavoro (comune)</t>
        </is>
      </c>
      <c r="C6" s="22">
        <f>'Nota spese'!C7</f>
        <v/>
      </c>
    </row>
    <row r="7">
      <c r="A7" s="3" t="inlineStr">
        <is>
          <t>Tariffa ACI €/km del veicolo</t>
        </is>
      </c>
      <c r="C7" s="41">
        <f>'Nota spese'!C11</f>
        <v/>
      </c>
    </row>
    <row r="8">
      <c r="A8" s="3" t="inlineStr">
        <is>
          <t>Indennità giornaliera da regolamento (€)</t>
        </is>
      </c>
      <c r="C8" s="37" t="n">
        <v>46.48</v>
      </c>
    </row>
    <row r="9">
      <c r="A9" s="3" t="inlineStr">
        <is>
          <t>Soglia esente: nessun rimborso vitto/alloggio (€)</t>
        </is>
      </c>
      <c r="C9" s="42" t="n">
        <v>46.48</v>
      </c>
      <c r="D9" s="26" t="inlineStr">
        <is>
          <t>Art. 51, c. 5, TUIR: soglie per trasferte in Italia fuori dal comune della sede di lavoro.</t>
        </is>
      </c>
    </row>
    <row r="10">
      <c r="A10" s="3" t="inlineStr">
        <is>
          <t>Soglia esente: rimborsato vitto OPPURE alloggio (€)</t>
        </is>
      </c>
      <c r="C10" s="42" t="n">
        <v>30.99</v>
      </c>
    </row>
    <row r="11">
      <c r="A11" s="3" t="inlineStr">
        <is>
          <t>Soglia esente: rimborsati vitto E alloggio (€)</t>
        </is>
      </c>
      <c r="C11" s="42" t="n">
        <v>15.49</v>
      </c>
    </row>
    <row r="12">
      <c r="A12" s="3" t="inlineStr">
        <is>
          <t>Altri nomi e frazioni del comune della sede</t>
        </is>
      </c>
      <c r="C12" s="22">
        <f>'Nota spese'!C13</f>
        <v/>
      </c>
    </row>
    <row r="14" ht="45" customHeight="1">
      <c r="A14" s="7" t="inlineStr">
        <is>
          <t>Data</t>
        </is>
      </c>
      <c r="B14" s="7" t="inlineStr">
        <is>
          <t>Cliente</t>
        </is>
      </c>
      <c r="C14" s="7" t="inlineStr">
        <is>
          <t>Commessa / fattura n.</t>
        </is>
      </c>
      <c r="D14" s="7" t="inlineStr">
        <is>
          <t>Motivo della trasferta</t>
        </is>
      </c>
      <c r="E14" s="7" t="inlineStr">
        <is>
          <t>Partenza (comune)</t>
        </is>
      </c>
      <c r="F14" s="7" t="inlineStr">
        <is>
          <t>Destinazione (comune)</t>
        </is>
      </c>
      <c r="G14" s="7" t="inlineStr">
        <is>
          <t>Km andata e ritorno</t>
        </is>
      </c>
      <c r="H14" s="7" t="inlineStr">
        <is>
          <t>Rimborso km (€)</t>
        </is>
      </c>
      <c r="I14" s="7" t="inlineStr">
        <is>
          <t>Pedaggi (€)</t>
        </is>
      </c>
      <c r="J14" s="7" t="inlineStr">
        <is>
          <t>Parcheggi (€)</t>
        </is>
      </c>
      <c r="K14" s="7" t="inlineStr">
        <is>
          <t>Vitto rimborsato a parte (€)</t>
        </is>
      </c>
      <c r="L14" s="7" t="inlineStr">
        <is>
          <t>Alloggio rimborsato a parte (€)</t>
        </is>
      </c>
      <c r="M14" s="7" t="inlineStr">
        <is>
          <t>Vitto/alloggio pagati tracciabili (S/N)</t>
        </is>
      </c>
      <c r="N14" s="7" t="inlineStr">
        <is>
          <t>Indennità del giorno (€)</t>
        </is>
      </c>
      <c r="O14" s="7" t="inlineStr">
        <is>
          <t>di cui esente (€)</t>
        </is>
      </c>
      <c r="P14" s="7" t="inlineStr">
        <is>
          <t>di cui imponibile in cedolino (€)</t>
        </is>
      </c>
      <c r="Q14" s="7" t="inlineStr">
        <is>
          <t>N. allegati</t>
        </is>
      </c>
      <c r="R14" s="7" t="inlineStr">
        <is>
          <t>Totale riga (€)</t>
        </is>
      </c>
      <c r="S14" s="7" t="inlineStr">
        <is>
          <t>Controllo</t>
        </is>
      </c>
    </row>
    <row r="15">
      <c r="A15" s="32" t="n">
        <v>46093</v>
      </c>
      <c r="B15" s="9" t="inlineStr">
        <is>
          <t>Rossi S.r.l. (ESEMPIO: cancellare)</t>
        </is>
      </c>
      <c r="C15" s="9" t="inlineStr">
        <is>
          <t>FatturaLab 2026/123</t>
        </is>
      </c>
      <c r="D15" s="9" t="inlineStr">
        <is>
          <t>Sopralluogo aggiornamento DVR</t>
        </is>
      </c>
      <c r="E15" s="9" t="inlineStr">
        <is>
          <t>Villafranca di Verona</t>
        </is>
      </c>
      <c r="F15" s="9" t="inlineStr">
        <is>
          <t>Vicenza</t>
        </is>
      </c>
      <c r="G15" s="9" t="n">
        <v>150</v>
      </c>
      <c r="H15" s="33">
        <f>IF(G15="","",G15*$C$7)</f>
        <v/>
      </c>
      <c r="I15" s="34" t="n">
        <v>10.4</v>
      </c>
      <c r="J15" s="34" t="n">
        <v>0</v>
      </c>
      <c r="K15" s="34" t="n">
        <v>0</v>
      </c>
      <c r="L15" s="34" t="n">
        <v>0</v>
      </c>
      <c r="M15" s="9" t="n"/>
      <c r="N15" s="33">
        <f>IF(A15="","",IF(COUNTIF($A$15:A15,A15)=1,$C$8,0))</f>
        <v/>
      </c>
      <c r="O15" s="33">
        <f>IF(A15="","",MIN(N15,IF(AND(SUMIF($A$15:$A$39,A15,$K$15:$K$39)&gt;0,SUMIF($A$15:$A$39,A15,$L$15:$L$39)&gt;0),$C$11,IF(OR(SUMIF($A$15:$A$39,A15,$K$15:$K$39)&gt;0,SUMIF($A$15:$A$39,A15,$L$15:$L$39)&gt;0),$C$10,$C$9))))</f>
        <v/>
      </c>
      <c r="P15" s="33">
        <f>IF(A15="","",N15-O15)</f>
        <v/>
      </c>
      <c r="Q15" s="9" t="n">
        <v>2</v>
      </c>
      <c r="R15" s="33">
        <f>IF(A15="","",N(H15)+N(I15)+N(J15)+N(K15)+N(L15)+N15)</f>
        <v/>
      </c>
      <c r="S15" s="12">
        <f>IF(A15="","",IF(ISNUMBER(SEARCH("ESEMPIO",B15)),"ESEMPIO: cancellare la riga",IF(OR(F15="",C15=""),"MANCA destinazione o commessa",IF(OR(LOWER(TRIM(F15))=LOWER(TRIM($C$6)),ISNUMBER(SEARCH(","&amp;LOWER(TRIM(F15))&amp;",",","&amp;LOWER(SUBSTITUTE($C$12," ",""))&amp;","))),"NO: trasferta nel comune della sede (o frazione)",IF(AND(N(K15)+N(L15)&gt;0,UPPER(M15)&lt;&gt;"S"),"NO: vitto/alloggio non tracciabile",IF(Q15&lt;1,"MANCA prova della trasferta","OK"))))))</f>
        <v/>
      </c>
    </row>
    <row r="16">
      <c r="A16" s="35" t="n"/>
      <c r="B16" s="4" t="n"/>
      <c r="C16" s="4" t="n"/>
      <c r="D16" s="4" t="n"/>
      <c r="E16" s="4" t="n"/>
      <c r="F16" s="4" t="n"/>
      <c r="G16" s="4" t="n"/>
      <c r="H16" s="36">
        <f>IF(G16="","",G16*$C$7)</f>
        <v/>
      </c>
      <c r="I16" s="37" t="n"/>
      <c r="J16" s="37" t="n"/>
      <c r="K16" s="37" t="n"/>
      <c r="L16" s="37" t="n"/>
      <c r="M16" s="4" t="n"/>
      <c r="N16" s="36">
        <f>IF(A16="","",IF(COUNTIF($A$15:A16,A16)=1,$C$8,0))</f>
        <v/>
      </c>
      <c r="O16" s="36">
        <f>IF(A16="","",MIN(N16,IF(AND(SUMIF($A$15:$A$39,A16,$K$15:$K$39)&gt;0,SUMIF($A$15:$A$39,A16,$L$15:$L$39)&gt;0),$C$11,IF(OR(SUMIF($A$15:$A$39,A16,$K$15:$K$39)&gt;0,SUMIF($A$15:$A$39,A16,$L$15:$L$39)&gt;0),$C$10,$C$9))))</f>
        <v/>
      </c>
      <c r="P16" s="36">
        <f>IF(A16="","",N16-O16)</f>
        <v/>
      </c>
      <c r="Q16" s="4" t="n"/>
      <c r="R16" s="36">
        <f>IF(A16="","",N(H16)+N(I16)+N(J16)+N(K16)+N(L16)+N16)</f>
        <v/>
      </c>
      <c r="S16" s="16">
        <f>IF(A16="","",IF(ISNUMBER(SEARCH("ESEMPIO",B16)),"ESEMPIO: cancellare la riga",IF(OR(F16="",C16=""),"MANCA destinazione o commessa",IF(OR(LOWER(TRIM(F16))=LOWER(TRIM($C$6)),ISNUMBER(SEARCH(","&amp;LOWER(TRIM(F16))&amp;",",","&amp;LOWER(SUBSTITUTE($C$12," ",""))&amp;","))),"NO: trasferta nel comune della sede (o frazione)",IF(AND(N(K16)+N(L16)&gt;0,UPPER(M16)&lt;&gt;"S"),"NO: vitto/alloggio non tracciabile",IF(Q16&lt;1,"MANCA prova della trasferta","OK"))))))</f>
        <v/>
      </c>
    </row>
    <row r="17">
      <c r="A17" s="35" t="n"/>
      <c r="B17" s="4" t="n"/>
      <c r="C17" s="4" t="n"/>
      <c r="D17" s="4" t="n"/>
      <c r="E17" s="4" t="n"/>
      <c r="F17" s="4" t="n"/>
      <c r="G17" s="4" t="n"/>
      <c r="H17" s="36">
        <f>IF(G17="","",G17*$C$7)</f>
        <v/>
      </c>
      <c r="I17" s="37" t="n"/>
      <c r="J17" s="37" t="n"/>
      <c r="K17" s="37" t="n"/>
      <c r="L17" s="37" t="n"/>
      <c r="M17" s="4" t="n"/>
      <c r="N17" s="36">
        <f>IF(A17="","",IF(COUNTIF($A$15:A17,A17)=1,$C$8,0))</f>
        <v/>
      </c>
      <c r="O17" s="36">
        <f>IF(A17="","",MIN(N17,IF(AND(SUMIF($A$15:$A$39,A17,$K$15:$K$39)&gt;0,SUMIF($A$15:$A$39,A17,$L$15:$L$39)&gt;0),$C$11,IF(OR(SUMIF($A$15:$A$39,A17,$K$15:$K$39)&gt;0,SUMIF($A$15:$A$39,A17,$L$15:$L$39)&gt;0),$C$10,$C$9))))</f>
        <v/>
      </c>
      <c r="P17" s="36">
        <f>IF(A17="","",N17-O17)</f>
        <v/>
      </c>
      <c r="Q17" s="4" t="n"/>
      <c r="R17" s="36">
        <f>IF(A17="","",N(H17)+N(I17)+N(J17)+N(K17)+N(L17)+N17)</f>
        <v/>
      </c>
      <c r="S17" s="16">
        <f>IF(A17="","",IF(ISNUMBER(SEARCH("ESEMPIO",B17)),"ESEMPIO: cancellare la riga",IF(OR(F17="",C17=""),"MANCA destinazione o commessa",IF(OR(LOWER(TRIM(F17))=LOWER(TRIM($C$6)),ISNUMBER(SEARCH(","&amp;LOWER(TRIM(F17))&amp;",",","&amp;LOWER(SUBSTITUTE($C$12," ",""))&amp;","))),"NO: trasferta nel comune della sede (o frazione)",IF(AND(N(K17)+N(L17)&gt;0,UPPER(M17)&lt;&gt;"S"),"NO: vitto/alloggio non tracciabile",IF(Q17&lt;1,"MANCA prova della trasferta","OK"))))))</f>
        <v/>
      </c>
    </row>
    <row r="18">
      <c r="A18" s="35" t="n"/>
      <c r="B18" s="4" t="n"/>
      <c r="C18" s="4" t="n"/>
      <c r="D18" s="4" t="n"/>
      <c r="E18" s="4" t="n"/>
      <c r="F18" s="4" t="n"/>
      <c r="G18" s="4" t="n"/>
      <c r="H18" s="36">
        <f>IF(G18="","",G18*$C$7)</f>
        <v/>
      </c>
      <c r="I18" s="37" t="n"/>
      <c r="J18" s="37" t="n"/>
      <c r="K18" s="37" t="n"/>
      <c r="L18" s="37" t="n"/>
      <c r="M18" s="4" t="n"/>
      <c r="N18" s="36">
        <f>IF(A18="","",IF(COUNTIF($A$15:A18,A18)=1,$C$8,0))</f>
        <v/>
      </c>
      <c r="O18" s="36">
        <f>IF(A18="","",MIN(N18,IF(AND(SUMIF($A$15:$A$39,A18,$K$15:$K$39)&gt;0,SUMIF($A$15:$A$39,A18,$L$15:$L$39)&gt;0),$C$11,IF(OR(SUMIF($A$15:$A$39,A18,$K$15:$K$39)&gt;0,SUMIF($A$15:$A$39,A18,$L$15:$L$39)&gt;0),$C$10,$C$9))))</f>
        <v/>
      </c>
      <c r="P18" s="36">
        <f>IF(A18="","",N18-O18)</f>
        <v/>
      </c>
      <c r="Q18" s="4" t="n"/>
      <c r="R18" s="36">
        <f>IF(A18="","",N(H18)+N(I18)+N(J18)+N(K18)+N(L18)+N18)</f>
        <v/>
      </c>
      <c r="S18" s="16">
        <f>IF(A18="","",IF(ISNUMBER(SEARCH("ESEMPIO",B18)),"ESEMPIO: cancellare la riga",IF(OR(F18="",C18=""),"MANCA destinazione o commessa",IF(OR(LOWER(TRIM(F18))=LOWER(TRIM($C$6)),ISNUMBER(SEARCH(","&amp;LOWER(TRIM(F18))&amp;",",","&amp;LOWER(SUBSTITUTE($C$12," ",""))&amp;","))),"NO: trasferta nel comune della sede (o frazione)",IF(AND(N(K18)+N(L18)&gt;0,UPPER(M18)&lt;&gt;"S"),"NO: vitto/alloggio non tracciabile",IF(Q18&lt;1,"MANCA prova della trasferta","OK"))))))</f>
        <v/>
      </c>
    </row>
    <row r="19">
      <c r="A19" s="35" t="n"/>
      <c r="B19" s="4" t="n"/>
      <c r="C19" s="4" t="n"/>
      <c r="D19" s="4" t="n"/>
      <c r="E19" s="4" t="n"/>
      <c r="F19" s="4" t="n"/>
      <c r="G19" s="4" t="n"/>
      <c r="H19" s="36">
        <f>IF(G19="","",G19*$C$7)</f>
        <v/>
      </c>
      <c r="I19" s="37" t="n"/>
      <c r="J19" s="37" t="n"/>
      <c r="K19" s="37" t="n"/>
      <c r="L19" s="37" t="n"/>
      <c r="M19" s="4" t="n"/>
      <c r="N19" s="36">
        <f>IF(A19="","",IF(COUNTIF($A$15:A19,A19)=1,$C$8,0))</f>
        <v/>
      </c>
      <c r="O19" s="36">
        <f>IF(A19="","",MIN(N19,IF(AND(SUMIF($A$15:$A$39,A19,$K$15:$K$39)&gt;0,SUMIF($A$15:$A$39,A19,$L$15:$L$39)&gt;0),$C$11,IF(OR(SUMIF($A$15:$A$39,A19,$K$15:$K$39)&gt;0,SUMIF($A$15:$A$39,A19,$L$15:$L$39)&gt;0),$C$10,$C$9))))</f>
        <v/>
      </c>
      <c r="P19" s="36">
        <f>IF(A19="","",N19-O19)</f>
        <v/>
      </c>
      <c r="Q19" s="4" t="n"/>
      <c r="R19" s="36">
        <f>IF(A19="","",N(H19)+N(I19)+N(J19)+N(K19)+N(L19)+N19)</f>
        <v/>
      </c>
      <c r="S19" s="16">
        <f>IF(A19="","",IF(ISNUMBER(SEARCH("ESEMPIO",B19)),"ESEMPIO: cancellare la riga",IF(OR(F19="",C19=""),"MANCA destinazione o commessa",IF(OR(LOWER(TRIM(F19))=LOWER(TRIM($C$6)),ISNUMBER(SEARCH(","&amp;LOWER(TRIM(F19))&amp;",",","&amp;LOWER(SUBSTITUTE($C$12," ",""))&amp;","))),"NO: trasferta nel comune della sede (o frazione)",IF(AND(N(K19)+N(L19)&gt;0,UPPER(M19)&lt;&gt;"S"),"NO: vitto/alloggio non tracciabile",IF(Q19&lt;1,"MANCA prova della trasferta","OK"))))))</f>
        <v/>
      </c>
    </row>
    <row r="20">
      <c r="A20" s="35" t="n"/>
      <c r="B20" s="4" t="n"/>
      <c r="C20" s="4" t="n"/>
      <c r="D20" s="4" t="n"/>
      <c r="E20" s="4" t="n"/>
      <c r="F20" s="4" t="n"/>
      <c r="G20" s="4" t="n"/>
      <c r="H20" s="36">
        <f>IF(G20="","",G20*$C$7)</f>
        <v/>
      </c>
      <c r="I20" s="37" t="n"/>
      <c r="J20" s="37" t="n"/>
      <c r="K20" s="37" t="n"/>
      <c r="L20" s="37" t="n"/>
      <c r="M20" s="4" t="n"/>
      <c r="N20" s="36">
        <f>IF(A20="","",IF(COUNTIF($A$15:A20,A20)=1,$C$8,0))</f>
        <v/>
      </c>
      <c r="O20" s="36">
        <f>IF(A20="","",MIN(N20,IF(AND(SUMIF($A$15:$A$39,A20,$K$15:$K$39)&gt;0,SUMIF($A$15:$A$39,A20,$L$15:$L$39)&gt;0),$C$11,IF(OR(SUMIF($A$15:$A$39,A20,$K$15:$K$39)&gt;0,SUMIF($A$15:$A$39,A20,$L$15:$L$39)&gt;0),$C$10,$C$9))))</f>
        <v/>
      </c>
      <c r="P20" s="36">
        <f>IF(A20="","",N20-O20)</f>
        <v/>
      </c>
      <c r="Q20" s="4" t="n"/>
      <c r="R20" s="36">
        <f>IF(A20="","",N(H20)+N(I20)+N(J20)+N(K20)+N(L20)+N20)</f>
        <v/>
      </c>
      <c r="S20" s="16">
        <f>IF(A20="","",IF(ISNUMBER(SEARCH("ESEMPIO",B20)),"ESEMPIO: cancellare la riga",IF(OR(F20="",C20=""),"MANCA destinazione o commessa",IF(OR(LOWER(TRIM(F20))=LOWER(TRIM($C$6)),ISNUMBER(SEARCH(","&amp;LOWER(TRIM(F20))&amp;",",","&amp;LOWER(SUBSTITUTE($C$12," ",""))&amp;","))),"NO: trasferta nel comune della sede (o frazione)",IF(AND(N(K20)+N(L20)&gt;0,UPPER(M20)&lt;&gt;"S"),"NO: vitto/alloggio non tracciabile",IF(Q20&lt;1,"MANCA prova della trasferta","OK"))))))</f>
        <v/>
      </c>
    </row>
    <row r="21">
      <c r="A21" s="35" t="n"/>
      <c r="B21" s="4" t="n"/>
      <c r="C21" s="4" t="n"/>
      <c r="D21" s="4" t="n"/>
      <c r="E21" s="4" t="n"/>
      <c r="F21" s="4" t="n"/>
      <c r="G21" s="4" t="n"/>
      <c r="H21" s="36">
        <f>IF(G21="","",G21*$C$7)</f>
        <v/>
      </c>
      <c r="I21" s="37" t="n"/>
      <c r="J21" s="37" t="n"/>
      <c r="K21" s="37" t="n"/>
      <c r="L21" s="37" t="n"/>
      <c r="M21" s="4" t="n"/>
      <c r="N21" s="36">
        <f>IF(A21="","",IF(COUNTIF($A$15:A21,A21)=1,$C$8,0))</f>
        <v/>
      </c>
      <c r="O21" s="36">
        <f>IF(A21="","",MIN(N21,IF(AND(SUMIF($A$15:$A$39,A21,$K$15:$K$39)&gt;0,SUMIF($A$15:$A$39,A21,$L$15:$L$39)&gt;0),$C$11,IF(OR(SUMIF($A$15:$A$39,A21,$K$15:$K$39)&gt;0,SUMIF($A$15:$A$39,A21,$L$15:$L$39)&gt;0),$C$10,$C$9))))</f>
        <v/>
      </c>
      <c r="P21" s="36">
        <f>IF(A21="","",N21-O21)</f>
        <v/>
      </c>
      <c r="Q21" s="4" t="n"/>
      <c r="R21" s="36">
        <f>IF(A21="","",N(H21)+N(I21)+N(J21)+N(K21)+N(L21)+N21)</f>
        <v/>
      </c>
      <c r="S21" s="16">
        <f>IF(A21="","",IF(ISNUMBER(SEARCH("ESEMPIO",B21)),"ESEMPIO: cancellare la riga",IF(OR(F21="",C21=""),"MANCA destinazione o commessa",IF(OR(LOWER(TRIM(F21))=LOWER(TRIM($C$6)),ISNUMBER(SEARCH(","&amp;LOWER(TRIM(F21))&amp;",",","&amp;LOWER(SUBSTITUTE($C$12," ",""))&amp;","))),"NO: trasferta nel comune della sede (o frazione)",IF(AND(N(K21)+N(L21)&gt;0,UPPER(M21)&lt;&gt;"S"),"NO: vitto/alloggio non tracciabile",IF(Q21&lt;1,"MANCA prova della trasferta","OK"))))))</f>
        <v/>
      </c>
    </row>
    <row r="22">
      <c r="A22" s="35" t="n"/>
      <c r="B22" s="4" t="n"/>
      <c r="C22" s="4" t="n"/>
      <c r="D22" s="4" t="n"/>
      <c r="E22" s="4" t="n"/>
      <c r="F22" s="4" t="n"/>
      <c r="G22" s="4" t="n"/>
      <c r="H22" s="36">
        <f>IF(G22="","",G22*$C$7)</f>
        <v/>
      </c>
      <c r="I22" s="37" t="n"/>
      <c r="J22" s="37" t="n"/>
      <c r="K22" s="37" t="n"/>
      <c r="L22" s="37" t="n"/>
      <c r="M22" s="4" t="n"/>
      <c r="N22" s="36">
        <f>IF(A22="","",IF(COUNTIF($A$15:A22,A22)=1,$C$8,0))</f>
        <v/>
      </c>
      <c r="O22" s="36">
        <f>IF(A22="","",MIN(N22,IF(AND(SUMIF($A$15:$A$39,A22,$K$15:$K$39)&gt;0,SUMIF($A$15:$A$39,A22,$L$15:$L$39)&gt;0),$C$11,IF(OR(SUMIF($A$15:$A$39,A22,$K$15:$K$39)&gt;0,SUMIF($A$15:$A$39,A22,$L$15:$L$39)&gt;0),$C$10,$C$9))))</f>
        <v/>
      </c>
      <c r="P22" s="36">
        <f>IF(A22="","",N22-O22)</f>
        <v/>
      </c>
      <c r="Q22" s="4" t="n"/>
      <c r="R22" s="36">
        <f>IF(A22="","",N(H22)+N(I22)+N(J22)+N(K22)+N(L22)+N22)</f>
        <v/>
      </c>
      <c r="S22" s="16">
        <f>IF(A22="","",IF(ISNUMBER(SEARCH("ESEMPIO",B22)),"ESEMPIO: cancellare la riga",IF(OR(F22="",C22=""),"MANCA destinazione o commessa",IF(OR(LOWER(TRIM(F22))=LOWER(TRIM($C$6)),ISNUMBER(SEARCH(","&amp;LOWER(TRIM(F22))&amp;",",","&amp;LOWER(SUBSTITUTE($C$12," ",""))&amp;","))),"NO: trasferta nel comune della sede (o frazione)",IF(AND(N(K22)+N(L22)&gt;0,UPPER(M22)&lt;&gt;"S"),"NO: vitto/alloggio non tracciabile",IF(Q22&lt;1,"MANCA prova della trasferta","OK"))))))</f>
        <v/>
      </c>
    </row>
    <row r="23">
      <c r="A23" s="35" t="n"/>
      <c r="B23" s="4" t="n"/>
      <c r="C23" s="4" t="n"/>
      <c r="D23" s="4" t="n"/>
      <c r="E23" s="4" t="n"/>
      <c r="F23" s="4" t="n"/>
      <c r="G23" s="4" t="n"/>
      <c r="H23" s="36">
        <f>IF(G23="","",G23*$C$7)</f>
        <v/>
      </c>
      <c r="I23" s="37" t="n"/>
      <c r="J23" s="37" t="n"/>
      <c r="K23" s="37" t="n"/>
      <c r="L23" s="37" t="n"/>
      <c r="M23" s="4" t="n"/>
      <c r="N23" s="36">
        <f>IF(A23="","",IF(COUNTIF($A$15:A23,A23)=1,$C$8,0))</f>
        <v/>
      </c>
      <c r="O23" s="36">
        <f>IF(A23="","",MIN(N23,IF(AND(SUMIF($A$15:$A$39,A23,$K$15:$K$39)&gt;0,SUMIF($A$15:$A$39,A23,$L$15:$L$39)&gt;0),$C$11,IF(OR(SUMIF($A$15:$A$39,A23,$K$15:$K$39)&gt;0,SUMIF($A$15:$A$39,A23,$L$15:$L$39)&gt;0),$C$10,$C$9))))</f>
        <v/>
      </c>
      <c r="P23" s="36">
        <f>IF(A23="","",N23-O23)</f>
        <v/>
      </c>
      <c r="Q23" s="4" t="n"/>
      <c r="R23" s="36">
        <f>IF(A23="","",N(H23)+N(I23)+N(J23)+N(K23)+N(L23)+N23)</f>
        <v/>
      </c>
      <c r="S23" s="16">
        <f>IF(A23="","",IF(ISNUMBER(SEARCH("ESEMPIO",B23)),"ESEMPIO: cancellare la riga",IF(OR(F23="",C23=""),"MANCA destinazione o commessa",IF(OR(LOWER(TRIM(F23))=LOWER(TRIM($C$6)),ISNUMBER(SEARCH(","&amp;LOWER(TRIM(F23))&amp;",",","&amp;LOWER(SUBSTITUTE($C$12," ",""))&amp;","))),"NO: trasferta nel comune della sede (o frazione)",IF(AND(N(K23)+N(L23)&gt;0,UPPER(M23)&lt;&gt;"S"),"NO: vitto/alloggio non tracciabile",IF(Q23&lt;1,"MANCA prova della trasferta","OK"))))))</f>
        <v/>
      </c>
    </row>
    <row r="24">
      <c r="A24" s="35" t="n"/>
      <c r="B24" s="4" t="n"/>
      <c r="C24" s="4" t="n"/>
      <c r="D24" s="4" t="n"/>
      <c r="E24" s="4" t="n"/>
      <c r="F24" s="4" t="n"/>
      <c r="G24" s="4" t="n"/>
      <c r="H24" s="36">
        <f>IF(G24="","",G24*$C$7)</f>
        <v/>
      </c>
      <c r="I24" s="37" t="n"/>
      <c r="J24" s="37" t="n"/>
      <c r="K24" s="37" t="n"/>
      <c r="L24" s="37" t="n"/>
      <c r="M24" s="4" t="n"/>
      <c r="N24" s="36">
        <f>IF(A24="","",IF(COUNTIF($A$15:A24,A24)=1,$C$8,0))</f>
        <v/>
      </c>
      <c r="O24" s="36">
        <f>IF(A24="","",MIN(N24,IF(AND(SUMIF($A$15:$A$39,A24,$K$15:$K$39)&gt;0,SUMIF($A$15:$A$39,A24,$L$15:$L$39)&gt;0),$C$11,IF(OR(SUMIF($A$15:$A$39,A24,$K$15:$K$39)&gt;0,SUMIF($A$15:$A$39,A24,$L$15:$L$39)&gt;0),$C$10,$C$9))))</f>
        <v/>
      </c>
      <c r="P24" s="36">
        <f>IF(A24="","",N24-O24)</f>
        <v/>
      </c>
      <c r="Q24" s="4" t="n"/>
      <c r="R24" s="36">
        <f>IF(A24="","",N(H24)+N(I24)+N(J24)+N(K24)+N(L24)+N24)</f>
        <v/>
      </c>
      <c r="S24" s="16">
        <f>IF(A24="","",IF(ISNUMBER(SEARCH("ESEMPIO",B24)),"ESEMPIO: cancellare la riga",IF(OR(F24="",C24=""),"MANCA destinazione o commessa",IF(OR(LOWER(TRIM(F24))=LOWER(TRIM($C$6)),ISNUMBER(SEARCH(","&amp;LOWER(TRIM(F24))&amp;",",","&amp;LOWER(SUBSTITUTE($C$12," ",""))&amp;","))),"NO: trasferta nel comune della sede (o frazione)",IF(AND(N(K24)+N(L24)&gt;0,UPPER(M24)&lt;&gt;"S"),"NO: vitto/alloggio non tracciabile",IF(Q24&lt;1,"MANCA prova della trasferta","OK"))))))</f>
        <v/>
      </c>
    </row>
    <row r="25">
      <c r="A25" s="35" t="n"/>
      <c r="B25" s="4" t="n"/>
      <c r="C25" s="4" t="n"/>
      <c r="D25" s="4" t="n"/>
      <c r="E25" s="4" t="n"/>
      <c r="F25" s="4" t="n"/>
      <c r="G25" s="4" t="n"/>
      <c r="H25" s="36">
        <f>IF(G25="","",G25*$C$7)</f>
        <v/>
      </c>
      <c r="I25" s="37" t="n"/>
      <c r="J25" s="37" t="n"/>
      <c r="K25" s="37" t="n"/>
      <c r="L25" s="37" t="n"/>
      <c r="M25" s="4" t="n"/>
      <c r="N25" s="36">
        <f>IF(A25="","",IF(COUNTIF($A$15:A25,A25)=1,$C$8,0))</f>
        <v/>
      </c>
      <c r="O25" s="36">
        <f>IF(A25="","",MIN(N25,IF(AND(SUMIF($A$15:$A$39,A25,$K$15:$K$39)&gt;0,SUMIF($A$15:$A$39,A25,$L$15:$L$39)&gt;0),$C$11,IF(OR(SUMIF($A$15:$A$39,A25,$K$15:$K$39)&gt;0,SUMIF($A$15:$A$39,A25,$L$15:$L$39)&gt;0),$C$10,$C$9))))</f>
        <v/>
      </c>
      <c r="P25" s="36">
        <f>IF(A25="","",N25-O25)</f>
        <v/>
      </c>
      <c r="Q25" s="4" t="n"/>
      <c r="R25" s="36">
        <f>IF(A25="","",N(H25)+N(I25)+N(J25)+N(K25)+N(L25)+N25)</f>
        <v/>
      </c>
      <c r="S25" s="16">
        <f>IF(A25="","",IF(ISNUMBER(SEARCH("ESEMPIO",B25)),"ESEMPIO: cancellare la riga",IF(OR(F25="",C25=""),"MANCA destinazione o commessa",IF(OR(LOWER(TRIM(F25))=LOWER(TRIM($C$6)),ISNUMBER(SEARCH(","&amp;LOWER(TRIM(F25))&amp;",",","&amp;LOWER(SUBSTITUTE($C$12," ",""))&amp;","))),"NO: trasferta nel comune della sede (o frazione)",IF(AND(N(K25)+N(L25)&gt;0,UPPER(M25)&lt;&gt;"S"),"NO: vitto/alloggio non tracciabile",IF(Q25&lt;1,"MANCA prova della trasferta","OK"))))))</f>
        <v/>
      </c>
    </row>
    <row r="26">
      <c r="A26" s="35" t="n"/>
      <c r="B26" s="4" t="n"/>
      <c r="C26" s="4" t="n"/>
      <c r="D26" s="4" t="n"/>
      <c r="E26" s="4" t="n"/>
      <c r="F26" s="4" t="n"/>
      <c r="G26" s="4" t="n"/>
      <c r="H26" s="36">
        <f>IF(G26="","",G26*$C$7)</f>
        <v/>
      </c>
      <c r="I26" s="37" t="n"/>
      <c r="J26" s="37" t="n"/>
      <c r="K26" s="37" t="n"/>
      <c r="L26" s="37" t="n"/>
      <c r="M26" s="4" t="n"/>
      <c r="N26" s="36">
        <f>IF(A26="","",IF(COUNTIF($A$15:A26,A26)=1,$C$8,0))</f>
        <v/>
      </c>
      <c r="O26" s="36">
        <f>IF(A26="","",MIN(N26,IF(AND(SUMIF($A$15:$A$39,A26,$K$15:$K$39)&gt;0,SUMIF($A$15:$A$39,A26,$L$15:$L$39)&gt;0),$C$11,IF(OR(SUMIF($A$15:$A$39,A26,$K$15:$K$39)&gt;0,SUMIF($A$15:$A$39,A26,$L$15:$L$39)&gt;0),$C$10,$C$9))))</f>
        <v/>
      </c>
      <c r="P26" s="36">
        <f>IF(A26="","",N26-O26)</f>
        <v/>
      </c>
      <c r="Q26" s="4" t="n"/>
      <c r="R26" s="36">
        <f>IF(A26="","",N(H26)+N(I26)+N(J26)+N(K26)+N(L26)+N26)</f>
        <v/>
      </c>
      <c r="S26" s="16">
        <f>IF(A26="","",IF(ISNUMBER(SEARCH("ESEMPIO",B26)),"ESEMPIO: cancellare la riga",IF(OR(F26="",C26=""),"MANCA destinazione o commessa",IF(OR(LOWER(TRIM(F26))=LOWER(TRIM($C$6)),ISNUMBER(SEARCH(","&amp;LOWER(TRIM(F26))&amp;",",","&amp;LOWER(SUBSTITUTE($C$12," ",""))&amp;","))),"NO: trasferta nel comune della sede (o frazione)",IF(AND(N(K26)+N(L26)&gt;0,UPPER(M26)&lt;&gt;"S"),"NO: vitto/alloggio non tracciabile",IF(Q26&lt;1,"MANCA prova della trasferta","OK"))))))</f>
        <v/>
      </c>
    </row>
    <row r="27">
      <c r="A27" s="35" t="n"/>
      <c r="B27" s="4" t="n"/>
      <c r="C27" s="4" t="n"/>
      <c r="D27" s="4" t="n"/>
      <c r="E27" s="4" t="n"/>
      <c r="F27" s="4" t="n"/>
      <c r="G27" s="4" t="n"/>
      <c r="H27" s="36">
        <f>IF(G27="","",G27*$C$7)</f>
        <v/>
      </c>
      <c r="I27" s="37" t="n"/>
      <c r="J27" s="37" t="n"/>
      <c r="K27" s="37" t="n"/>
      <c r="L27" s="37" t="n"/>
      <c r="M27" s="4" t="n"/>
      <c r="N27" s="36">
        <f>IF(A27="","",IF(COUNTIF($A$15:A27,A27)=1,$C$8,0))</f>
        <v/>
      </c>
      <c r="O27" s="36">
        <f>IF(A27="","",MIN(N27,IF(AND(SUMIF($A$15:$A$39,A27,$K$15:$K$39)&gt;0,SUMIF($A$15:$A$39,A27,$L$15:$L$39)&gt;0),$C$11,IF(OR(SUMIF($A$15:$A$39,A27,$K$15:$K$39)&gt;0,SUMIF($A$15:$A$39,A27,$L$15:$L$39)&gt;0),$C$10,$C$9))))</f>
        <v/>
      </c>
      <c r="P27" s="36">
        <f>IF(A27="","",N27-O27)</f>
        <v/>
      </c>
      <c r="Q27" s="4" t="n"/>
      <c r="R27" s="36">
        <f>IF(A27="","",N(H27)+N(I27)+N(J27)+N(K27)+N(L27)+N27)</f>
        <v/>
      </c>
      <c r="S27" s="16">
        <f>IF(A27="","",IF(ISNUMBER(SEARCH("ESEMPIO",B27)),"ESEMPIO: cancellare la riga",IF(OR(F27="",C27=""),"MANCA destinazione o commessa",IF(OR(LOWER(TRIM(F27))=LOWER(TRIM($C$6)),ISNUMBER(SEARCH(","&amp;LOWER(TRIM(F27))&amp;",",","&amp;LOWER(SUBSTITUTE($C$12," ",""))&amp;","))),"NO: trasferta nel comune della sede (o frazione)",IF(AND(N(K27)+N(L27)&gt;0,UPPER(M27)&lt;&gt;"S"),"NO: vitto/alloggio non tracciabile",IF(Q27&lt;1,"MANCA prova della trasferta","OK"))))))</f>
        <v/>
      </c>
    </row>
    <row r="28">
      <c r="A28" s="35" t="n"/>
      <c r="B28" s="4" t="n"/>
      <c r="C28" s="4" t="n"/>
      <c r="D28" s="4" t="n"/>
      <c r="E28" s="4" t="n"/>
      <c r="F28" s="4" t="n"/>
      <c r="G28" s="4" t="n"/>
      <c r="H28" s="36">
        <f>IF(G28="","",G28*$C$7)</f>
        <v/>
      </c>
      <c r="I28" s="37" t="n"/>
      <c r="J28" s="37" t="n"/>
      <c r="K28" s="37" t="n"/>
      <c r="L28" s="37" t="n"/>
      <c r="M28" s="4" t="n"/>
      <c r="N28" s="36">
        <f>IF(A28="","",IF(COUNTIF($A$15:A28,A28)=1,$C$8,0))</f>
        <v/>
      </c>
      <c r="O28" s="36">
        <f>IF(A28="","",MIN(N28,IF(AND(SUMIF($A$15:$A$39,A28,$K$15:$K$39)&gt;0,SUMIF($A$15:$A$39,A28,$L$15:$L$39)&gt;0),$C$11,IF(OR(SUMIF($A$15:$A$39,A28,$K$15:$K$39)&gt;0,SUMIF($A$15:$A$39,A28,$L$15:$L$39)&gt;0),$C$10,$C$9))))</f>
        <v/>
      </c>
      <c r="P28" s="36">
        <f>IF(A28="","",N28-O28)</f>
        <v/>
      </c>
      <c r="Q28" s="4" t="n"/>
      <c r="R28" s="36">
        <f>IF(A28="","",N(H28)+N(I28)+N(J28)+N(K28)+N(L28)+N28)</f>
        <v/>
      </c>
      <c r="S28" s="16">
        <f>IF(A28="","",IF(ISNUMBER(SEARCH("ESEMPIO",B28)),"ESEMPIO: cancellare la riga",IF(OR(F28="",C28=""),"MANCA destinazione o commessa",IF(OR(LOWER(TRIM(F28))=LOWER(TRIM($C$6)),ISNUMBER(SEARCH(","&amp;LOWER(TRIM(F28))&amp;",",","&amp;LOWER(SUBSTITUTE($C$12," ",""))&amp;","))),"NO: trasferta nel comune della sede (o frazione)",IF(AND(N(K28)+N(L28)&gt;0,UPPER(M28)&lt;&gt;"S"),"NO: vitto/alloggio non tracciabile",IF(Q28&lt;1,"MANCA prova della trasferta","OK"))))))</f>
        <v/>
      </c>
    </row>
    <row r="29">
      <c r="A29" s="35" t="n"/>
      <c r="B29" s="4" t="n"/>
      <c r="C29" s="4" t="n"/>
      <c r="D29" s="4" t="n"/>
      <c r="E29" s="4" t="n"/>
      <c r="F29" s="4" t="n"/>
      <c r="G29" s="4" t="n"/>
      <c r="H29" s="36">
        <f>IF(G29="","",G29*$C$7)</f>
        <v/>
      </c>
      <c r="I29" s="37" t="n"/>
      <c r="J29" s="37" t="n"/>
      <c r="K29" s="37" t="n"/>
      <c r="L29" s="37" t="n"/>
      <c r="M29" s="4" t="n"/>
      <c r="N29" s="36">
        <f>IF(A29="","",IF(COUNTIF($A$15:A29,A29)=1,$C$8,0))</f>
        <v/>
      </c>
      <c r="O29" s="36">
        <f>IF(A29="","",MIN(N29,IF(AND(SUMIF($A$15:$A$39,A29,$K$15:$K$39)&gt;0,SUMIF($A$15:$A$39,A29,$L$15:$L$39)&gt;0),$C$11,IF(OR(SUMIF($A$15:$A$39,A29,$K$15:$K$39)&gt;0,SUMIF($A$15:$A$39,A29,$L$15:$L$39)&gt;0),$C$10,$C$9))))</f>
        <v/>
      </c>
      <c r="P29" s="36">
        <f>IF(A29="","",N29-O29)</f>
        <v/>
      </c>
      <c r="Q29" s="4" t="n"/>
      <c r="R29" s="36">
        <f>IF(A29="","",N(H29)+N(I29)+N(J29)+N(K29)+N(L29)+N29)</f>
        <v/>
      </c>
      <c r="S29" s="16">
        <f>IF(A29="","",IF(ISNUMBER(SEARCH("ESEMPIO",B29)),"ESEMPIO: cancellare la riga",IF(OR(F29="",C29=""),"MANCA destinazione o commessa",IF(OR(LOWER(TRIM(F29))=LOWER(TRIM($C$6)),ISNUMBER(SEARCH(","&amp;LOWER(TRIM(F29))&amp;",",","&amp;LOWER(SUBSTITUTE($C$12," ",""))&amp;","))),"NO: trasferta nel comune della sede (o frazione)",IF(AND(N(K29)+N(L29)&gt;0,UPPER(M29)&lt;&gt;"S"),"NO: vitto/alloggio non tracciabile",IF(Q29&lt;1,"MANCA prova della trasferta","OK"))))))</f>
        <v/>
      </c>
    </row>
    <row r="30">
      <c r="A30" s="35" t="n"/>
      <c r="B30" s="4" t="n"/>
      <c r="C30" s="4" t="n"/>
      <c r="D30" s="4" t="n"/>
      <c r="E30" s="4" t="n"/>
      <c r="F30" s="4" t="n"/>
      <c r="G30" s="4" t="n"/>
      <c r="H30" s="36">
        <f>IF(G30="","",G30*$C$7)</f>
        <v/>
      </c>
      <c r="I30" s="37" t="n"/>
      <c r="J30" s="37" t="n"/>
      <c r="K30" s="37" t="n"/>
      <c r="L30" s="37" t="n"/>
      <c r="M30" s="4" t="n"/>
      <c r="N30" s="36">
        <f>IF(A30="","",IF(COUNTIF($A$15:A30,A30)=1,$C$8,0))</f>
        <v/>
      </c>
      <c r="O30" s="36">
        <f>IF(A30="","",MIN(N30,IF(AND(SUMIF($A$15:$A$39,A30,$K$15:$K$39)&gt;0,SUMIF($A$15:$A$39,A30,$L$15:$L$39)&gt;0),$C$11,IF(OR(SUMIF($A$15:$A$39,A30,$K$15:$K$39)&gt;0,SUMIF($A$15:$A$39,A30,$L$15:$L$39)&gt;0),$C$10,$C$9))))</f>
        <v/>
      </c>
      <c r="P30" s="36">
        <f>IF(A30="","",N30-O30)</f>
        <v/>
      </c>
      <c r="Q30" s="4" t="n"/>
      <c r="R30" s="36">
        <f>IF(A30="","",N(H30)+N(I30)+N(J30)+N(K30)+N(L30)+N30)</f>
        <v/>
      </c>
      <c r="S30" s="16">
        <f>IF(A30="","",IF(ISNUMBER(SEARCH("ESEMPIO",B30)),"ESEMPIO: cancellare la riga",IF(OR(F30="",C30=""),"MANCA destinazione o commessa",IF(OR(LOWER(TRIM(F30))=LOWER(TRIM($C$6)),ISNUMBER(SEARCH(","&amp;LOWER(TRIM(F30))&amp;",",","&amp;LOWER(SUBSTITUTE($C$12," ",""))&amp;","))),"NO: trasferta nel comune della sede (o frazione)",IF(AND(N(K30)+N(L30)&gt;0,UPPER(M30)&lt;&gt;"S"),"NO: vitto/alloggio non tracciabile",IF(Q30&lt;1,"MANCA prova della trasferta","OK"))))))</f>
        <v/>
      </c>
    </row>
    <row r="31">
      <c r="A31" s="35" t="n"/>
      <c r="B31" s="4" t="n"/>
      <c r="C31" s="4" t="n"/>
      <c r="D31" s="4" t="n"/>
      <c r="E31" s="4" t="n"/>
      <c r="F31" s="4" t="n"/>
      <c r="G31" s="4" t="n"/>
      <c r="H31" s="36">
        <f>IF(G31="","",G31*$C$7)</f>
        <v/>
      </c>
      <c r="I31" s="37" t="n"/>
      <c r="J31" s="37" t="n"/>
      <c r="K31" s="37" t="n"/>
      <c r="L31" s="37" t="n"/>
      <c r="M31" s="4" t="n"/>
      <c r="N31" s="36">
        <f>IF(A31="","",IF(COUNTIF($A$15:A31,A31)=1,$C$8,0))</f>
        <v/>
      </c>
      <c r="O31" s="36">
        <f>IF(A31="","",MIN(N31,IF(AND(SUMIF($A$15:$A$39,A31,$K$15:$K$39)&gt;0,SUMIF($A$15:$A$39,A31,$L$15:$L$39)&gt;0),$C$11,IF(OR(SUMIF($A$15:$A$39,A31,$K$15:$K$39)&gt;0,SUMIF($A$15:$A$39,A31,$L$15:$L$39)&gt;0),$C$10,$C$9))))</f>
        <v/>
      </c>
      <c r="P31" s="36">
        <f>IF(A31="","",N31-O31)</f>
        <v/>
      </c>
      <c r="Q31" s="4" t="n"/>
      <c r="R31" s="36">
        <f>IF(A31="","",N(H31)+N(I31)+N(J31)+N(K31)+N(L31)+N31)</f>
        <v/>
      </c>
      <c r="S31" s="16">
        <f>IF(A31="","",IF(ISNUMBER(SEARCH("ESEMPIO",B31)),"ESEMPIO: cancellare la riga",IF(OR(F31="",C31=""),"MANCA destinazione o commessa",IF(OR(LOWER(TRIM(F31))=LOWER(TRIM($C$6)),ISNUMBER(SEARCH(","&amp;LOWER(TRIM(F31))&amp;",",","&amp;LOWER(SUBSTITUTE($C$12," ",""))&amp;","))),"NO: trasferta nel comune della sede (o frazione)",IF(AND(N(K31)+N(L31)&gt;0,UPPER(M31)&lt;&gt;"S"),"NO: vitto/alloggio non tracciabile",IF(Q31&lt;1,"MANCA prova della trasferta","OK"))))))</f>
        <v/>
      </c>
    </row>
    <row r="32">
      <c r="A32" s="35" t="n"/>
      <c r="B32" s="4" t="n"/>
      <c r="C32" s="4" t="n"/>
      <c r="D32" s="4" t="n"/>
      <c r="E32" s="4" t="n"/>
      <c r="F32" s="4" t="n"/>
      <c r="G32" s="4" t="n"/>
      <c r="H32" s="36">
        <f>IF(G32="","",G32*$C$7)</f>
        <v/>
      </c>
      <c r="I32" s="37" t="n"/>
      <c r="J32" s="37" t="n"/>
      <c r="K32" s="37" t="n"/>
      <c r="L32" s="37" t="n"/>
      <c r="M32" s="4" t="n"/>
      <c r="N32" s="36">
        <f>IF(A32="","",IF(COUNTIF($A$15:A32,A32)=1,$C$8,0))</f>
        <v/>
      </c>
      <c r="O32" s="36">
        <f>IF(A32="","",MIN(N32,IF(AND(SUMIF($A$15:$A$39,A32,$K$15:$K$39)&gt;0,SUMIF($A$15:$A$39,A32,$L$15:$L$39)&gt;0),$C$11,IF(OR(SUMIF($A$15:$A$39,A32,$K$15:$K$39)&gt;0,SUMIF($A$15:$A$39,A32,$L$15:$L$39)&gt;0),$C$10,$C$9))))</f>
        <v/>
      </c>
      <c r="P32" s="36">
        <f>IF(A32="","",N32-O32)</f>
        <v/>
      </c>
      <c r="Q32" s="4" t="n"/>
      <c r="R32" s="36">
        <f>IF(A32="","",N(H32)+N(I32)+N(J32)+N(K32)+N(L32)+N32)</f>
        <v/>
      </c>
      <c r="S32" s="16">
        <f>IF(A32="","",IF(ISNUMBER(SEARCH("ESEMPIO",B32)),"ESEMPIO: cancellare la riga",IF(OR(F32="",C32=""),"MANCA destinazione o commessa",IF(OR(LOWER(TRIM(F32))=LOWER(TRIM($C$6)),ISNUMBER(SEARCH(","&amp;LOWER(TRIM(F32))&amp;",",","&amp;LOWER(SUBSTITUTE($C$12," ",""))&amp;","))),"NO: trasferta nel comune della sede (o frazione)",IF(AND(N(K32)+N(L32)&gt;0,UPPER(M32)&lt;&gt;"S"),"NO: vitto/alloggio non tracciabile",IF(Q32&lt;1,"MANCA prova della trasferta","OK"))))))</f>
        <v/>
      </c>
    </row>
    <row r="33">
      <c r="A33" s="35" t="n"/>
      <c r="B33" s="4" t="n"/>
      <c r="C33" s="4" t="n"/>
      <c r="D33" s="4" t="n"/>
      <c r="E33" s="4" t="n"/>
      <c r="F33" s="4" t="n"/>
      <c r="G33" s="4" t="n"/>
      <c r="H33" s="36">
        <f>IF(G33="","",G33*$C$7)</f>
        <v/>
      </c>
      <c r="I33" s="37" t="n"/>
      <c r="J33" s="37" t="n"/>
      <c r="K33" s="37" t="n"/>
      <c r="L33" s="37" t="n"/>
      <c r="M33" s="4" t="n"/>
      <c r="N33" s="36">
        <f>IF(A33="","",IF(COUNTIF($A$15:A33,A33)=1,$C$8,0))</f>
        <v/>
      </c>
      <c r="O33" s="36">
        <f>IF(A33="","",MIN(N33,IF(AND(SUMIF($A$15:$A$39,A33,$K$15:$K$39)&gt;0,SUMIF($A$15:$A$39,A33,$L$15:$L$39)&gt;0),$C$11,IF(OR(SUMIF($A$15:$A$39,A33,$K$15:$K$39)&gt;0,SUMIF($A$15:$A$39,A33,$L$15:$L$39)&gt;0),$C$10,$C$9))))</f>
        <v/>
      </c>
      <c r="P33" s="36">
        <f>IF(A33="","",N33-O33)</f>
        <v/>
      </c>
      <c r="Q33" s="4" t="n"/>
      <c r="R33" s="36">
        <f>IF(A33="","",N(H33)+N(I33)+N(J33)+N(K33)+N(L33)+N33)</f>
        <v/>
      </c>
      <c r="S33" s="16">
        <f>IF(A33="","",IF(ISNUMBER(SEARCH("ESEMPIO",B33)),"ESEMPIO: cancellare la riga",IF(OR(F33="",C33=""),"MANCA destinazione o commessa",IF(OR(LOWER(TRIM(F33))=LOWER(TRIM($C$6)),ISNUMBER(SEARCH(","&amp;LOWER(TRIM(F33))&amp;",",","&amp;LOWER(SUBSTITUTE($C$12," ",""))&amp;","))),"NO: trasferta nel comune della sede (o frazione)",IF(AND(N(K33)+N(L33)&gt;0,UPPER(M33)&lt;&gt;"S"),"NO: vitto/alloggio non tracciabile",IF(Q33&lt;1,"MANCA prova della trasferta","OK"))))))</f>
        <v/>
      </c>
    </row>
    <row r="34">
      <c r="A34" s="35" t="n"/>
      <c r="B34" s="4" t="n"/>
      <c r="C34" s="4" t="n"/>
      <c r="D34" s="4" t="n"/>
      <c r="E34" s="4" t="n"/>
      <c r="F34" s="4" t="n"/>
      <c r="G34" s="4" t="n"/>
      <c r="H34" s="36">
        <f>IF(G34="","",G34*$C$7)</f>
        <v/>
      </c>
      <c r="I34" s="37" t="n"/>
      <c r="J34" s="37" t="n"/>
      <c r="K34" s="37" t="n"/>
      <c r="L34" s="37" t="n"/>
      <c r="M34" s="4" t="n"/>
      <c r="N34" s="36">
        <f>IF(A34="","",IF(COUNTIF($A$15:A34,A34)=1,$C$8,0))</f>
        <v/>
      </c>
      <c r="O34" s="36">
        <f>IF(A34="","",MIN(N34,IF(AND(SUMIF($A$15:$A$39,A34,$K$15:$K$39)&gt;0,SUMIF($A$15:$A$39,A34,$L$15:$L$39)&gt;0),$C$11,IF(OR(SUMIF($A$15:$A$39,A34,$K$15:$K$39)&gt;0,SUMIF($A$15:$A$39,A34,$L$15:$L$39)&gt;0),$C$10,$C$9))))</f>
        <v/>
      </c>
      <c r="P34" s="36">
        <f>IF(A34="","",N34-O34)</f>
        <v/>
      </c>
      <c r="Q34" s="4" t="n"/>
      <c r="R34" s="36">
        <f>IF(A34="","",N(H34)+N(I34)+N(J34)+N(K34)+N(L34)+N34)</f>
        <v/>
      </c>
      <c r="S34" s="16">
        <f>IF(A34="","",IF(ISNUMBER(SEARCH("ESEMPIO",B34)),"ESEMPIO: cancellare la riga",IF(OR(F34="",C34=""),"MANCA destinazione o commessa",IF(OR(LOWER(TRIM(F34))=LOWER(TRIM($C$6)),ISNUMBER(SEARCH(","&amp;LOWER(TRIM(F34))&amp;",",","&amp;LOWER(SUBSTITUTE($C$12," ",""))&amp;","))),"NO: trasferta nel comune della sede (o frazione)",IF(AND(N(K34)+N(L34)&gt;0,UPPER(M34)&lt;&gt;"S"),"NO: vitto/alloggio non tracciabile",IF(Q34&lt;1,"MANCA prova della trasferta","OK"))))))</f>
        <v/>
      </c>
    </row>
    <row r="35">
      <c r="A35" s="35" t="n"/>
      <c r="B35" s="4" t="n"/>
      <c r="C35" s="4" t="n"/>
      <c r="D35" s="4" t="n"/>
      <c r="E35" s="4" t="n"/>
      <c r="F35" s="4" t="n"/>
      <c r="G35" s="4" t="n"/>
      <c r="H35" s="36">
        <f>IF(G35="","",G35*$C$7)</f>
        <v/>
      </c>
      <c r="I35" s="37" t="n"/>
      <c r="J35" s="37" t="n"/>
      <c r="K35" s="37" t="n"/>
      <c r="L35" s="37" t="n"/>
      <c r="M35" s="4" t="n"/>
      <c r="N35" s="36">
        <f>IF(A35="","",IF(COUNTIF($A$15:A35,A35)=1,$C$8,0))</f>
        <v/>
      </c>
      <c r="O35" s="36">
        <f>IF(A35="","",MIN(N35,IF(AND(SUMIF($A$15:$A$39,A35,$K$15:$K$39)&gt;0,SUMIF($A$15:$A$39,A35,$L$15:$L$39)&gt;0),$C$11,IF(OR(SUMIF($A$15:$A$39,A35,$K$15:$K$39)&gt;0,SUMIF($A$15:$A$39,A35,$L$15:$L$39)&gt;0),$C$10,$C$9))))</f>
        <v/>
      </c>
      <c r="P35" s="36">
        <f>IF(A35="","",N35-O35)</f>
        <v/>
      </c>
      <c r="Q35" s="4" t="n"/>
      <c r="R35" s="36">
        <f>IF(A35="","",N(H35)+N(I35)+N(J35)+N(K35)+N(L35)+N35)</f>
        <v/>
      </c>
      <c r="S35" s="16">
        <f>IF(A35="","",IF(ISNUMBER(SEARCH("ESEMPIO",B35)),"ESEMPIO: cancellare la riga",IF(OR(F35="",C35=""),"MANCA destinazione o commessa",IF(OR(LOWER(TRIM(F35))=LOWER(TRIM($C$6)),ISNUMBER(SEARCH(","&amp;LOWER(TRIM(F35))&amp;",",","&amp;LOWER(SUBSTITUTE($C$12," ",""))&amp;","))),"NO: trasferta nel comune della sede (o frazione)",IF(AND(N(K35)+N(L35)&gt;0,UPPER(M35)&lt;&gt;"S"),"NO: vitto/alloggio non tracciabile",IF(Q35&lt;1,"MANCA prova della trasferta","OK"))))))</f>
        <v/>
      </c>
    </row>
    <row r="36">
      <c r="A36" s="35" t="n"/>
      <c r="B36" s="4" t="n"/>
      <c r="C36" s="4" t="n"/>
      <c r="D36" s="4" t="n"/>
      <c r="E36" s="4" t="n"/>
      <c r="F36" s="4" t="n"/>
      <c r="G36" s="4" t="n"/>
      <c r="H36" s="36">
        <f>IF(G36="","",G36*$C$7)</f>
        <v/>
      </c>
      <c r="I36" s="37" t="n"/>
      <c r="J36" s="37" t="n"/>
      <c r="K36" s="37" t="n"/>
      <c r="L36" s="37" t="n"/>
      <c r="M36" s="4" t="n"/>
      <c r="N36" s="36">
        <f>IF(A36="","",IF(COUNTIF($A$15:A36,A36)=1,$C$8,0))</f>
        <v/>
      </c>
      <c r="O36" s="36">
        <f>IF(A36="","",MIN(N36,IF(AND(SUMIF($A$15:$A$39,A36,$K$15:$K$39)&gt;0,SUMIF($A$15:$A$39,A36,$L$15:$L$39)&gt;0),$C$11,IF(OR(SUMIF($A$15:$A$39,A36,$K$15:$K$39)&gt;0,SUMIF($A$15:$A$39,A36,$L$15:$L$39)&gt;0),$C$10,$C$9))))</f>
        <v/>
      </c>
      <c r="P36" s="36">
        <f>IF(A36="","",N36-O36)</f>
        <v/>
      </c>
      <c r="Q36" s="4" t="n"/>
      <c r="R36" s="36">
        <f>IF(A36="","",N(H36)+N(I36)+N(J36)+N(K36)+N(L36)+N36)</f>
        <v/>
      </c>
      <c r="S36" s="16">
        <f>IF(A36="","",IF(ISNUMBER(SEARCH("ESEMPIO",B36)),"ESEMPIO: cancellare la riga",IF(OR(F36="",C36=""),"MANCA destinazione o commessa",IF(OR(LOWER(TRIM(F36))=LOWER(TRIM($C$6)),ISNUMBER(SEARCH(","&amp;LOWER(TRIM(F36))&amp;",",","&amp;LOWER(SUBSTITUTE($C$12," ",""))&amp;","))),"NO: trasferta nel comune della sede (o frazione)",IF(AND(N(K36)+N(L36)&gt;0,UPPER(M36)&lt;&gt;"S"),"NO: vitto/alloggio non tracciabile",IF(Q36&lt;1,"MANCA prova della trasferta","OK"))))))</f>
        <v/>
      </c>
    </row>
    <row r="37">
      <c r="A37" s="35" t="n"/>
      <c r="B37" s="4" t="n"/>
      <c r="C37" s="4" t="n"/>
      <c r="D37" s="4" t="n"/>
      <c r="E37" s="4" t="n"/>
      <c r="F37" s="4" t="n"/>
      <c r="G37" s="4" t="n"/>
      <c r="H37" s="36">
        <f>IF(G37="","",G37*$C$7)</f>
        <v/>
      </c>
      <c r="I37" s="37" t="n"/>
      <c r="J37" s="37" t="n"/>
      <c r="K37" s="37" t="n"/>
      <c r="L37" s="37" t="n"/>
      <c r="M37" s="4" t="n"/>
      <c r="N37" s="36">
        <f>IF(A37="","",IF(COUNTIF($A$15:A37,A37)=1,$C$8,0))</f>
        <v/>
      </c>
      <c r="O37" s="36">
        <f>IF(A37="","",MIN(N37,IF(AND(SUMIF($A$15:$A$39,A37,$K$15:$K$39)&gt;0,SUMIF($A$15:$A$39,A37,$L$15:$L$39)&gt;0),$C$11,IF(OR(SUMIF($A$15:$A$39,A37,$K$15:$K$39)&gt;0,SUMIF($A$15:$A$39,A37,$L$15:$L$39)&gt;0),$C$10,$C$9))))</f>
        <v/>
      </c>
      <c r="P37" s="36">
        <f>IF(A37="","",N37-O37)</f>
        <v/>
      </c>
      <c r="Q37" s="4" t="n"/>
      <c r="R37" s="36">
        <f>IF(A37="","",N(H37)+N(I37)+N(J37)+N(K37)+N(L37)+N37)</f>
        <v/>
      </c>
      <c r="S37" s="16">
        <f>IF(A37="","",IF(ISNUMBER(SEARCH("ESEMPIO",B37)),"ESEMPIO: cancellare la riga",IF(OR(F37="",C37=""),"MANCA destinazione o commessa",IF(OR(LOWER(TRIM(F37))=LOWER(TRIM($C$6)),ISNUMBER(SEARCH(","&amp;LOWER(TRIM(F37))&amp;",",","&amp;LOWER(SUBSTITUTE($C$12," ",""))&amp;","))),"NO: trasferta nel comune della sede (o frazione)",IF(AND(N(K37)+N(L37)&gt;0,UPPER(M37)&lt;&gt;"S"),"NO: vitto/alloggio non tracciabile",IF(Q37&lt;1,"MANCA prova della trasferta","OK"))))))</f>
        <v/>
      </c>
    </row>
    <row r="38">
      <c r="A38" s="35" t="n"/>
      <c r="B38" s="4" t="n"/>
      <c r="C38" s="4" t="n"/>
      <c r="D38" s="4" t="n"/>
      <c r="E38" s="4" t="n"/>
      <c r="F38" s="4" t="n"/>
      <c r="G38" s="4" t="n"/>
      <c r="H38" s="36">
        <f>IF(G38="","",G38*$C$7)</f>
        <v/>
      </c>
      <c r="I38" s="37" t="n"/>
      <c r="J38" s="37" t="n"/>
      <c r="K38" s="37" t="n"/>
      <c r="L38" s="37" t="n"/>
      <c r="M38" s="4" t="n"/>
      <c r="N38" s="36">
        <f>IF(A38="","",IF(COUNTIF($A$15:A38,A38)=1,$C$8,0))</f>
        <v/>
      </c>
      <c r="O38" s="36">
        <f>IF(A38="","",MIN(N38,IF(AND(SUMIF($A$15:$A$39,A38,$K$15:$K$39)&gt;0,SUMIF($A$15:$A$39,A38,$L$15:$L$39)&gt;0),$C$11,IF(OR(SUMIF($A$15:$A$39,A38,$K$15:$K$39)&gt;0,SUMIF($A$15:$A$39,A38,$L$15:$L$39)&gt;0),$C$10,$C$9))))</f>
        <v/>
      </c>
      <c r="P38" s="36">
        <f>IF(A38="","",N38-O38)</f>
        <v/>
      </c>
      <c r="Q38" s="4" t="n"/>
      <c r="R38" s="36">
        <f>IF(A38="","",N(H38)+N(I38)+N(J38)+N(K38)+N(L38)+N38)</f>
        <v/>
      </c>
      <c r="S38" s="16">
        <f>IF(A38="","",IF(ISNUMBER(SEARCH("ESEMPIO",B38)),"ESEMPIO: cancellare la riga",IF(OR(F38="",C38=""),"MANCA destinazione o commessa",IF(OR(LOWER(TRIM(F38))=LOWER(TRIM($C$6)),ISNUMBER(SEARCH(","&amp;LOWER(TRIM(F38))&amp;",",","&amp;LOWER(SUBSTITUTE($C$12," ",""))&amp;","))),"NO: trasferta nel comune della sede (o frazione)",IF(AND(N(K38)+N(L38)&gt;0,UPPER(M38)&lt;&gt;"S"),"NO: vitto/alloggio non tracciabile",IF(Q38&lt;1,"MANCA prova della trasferta","OK"))))))</f>
        <v/>
      </c>
    </row>
    <row r="39">
      <c r="A39" s="35" t="n"/>
      <c r="B39" s="4" t="n"/>
      <c r="C39" s="4" t="n"/>
      <c r="D39" s="4" t="n"/>
      <c r="E39" s="4" t="n"/>
      <c r="F39" s="4" t="n"/>
      <c r="G39" s="4" t="n"/>
      <c r="H39" s="36">
        <f>IF(G39="","",G39*$C$7)</f>
        <v/>
      </c>
      <c r="I39" s="37" t="n"/>
      <c r="J39" s="37" t="n"/>
      <c r="K39" s="37" t="n"/>
      <c r="L39" s="37" t="n"/>
      <c r="M39" s="4" t="n"/>
      <c r="N39" s="36">
        <f>IF(A39="","",IF(COUNTIF($A$15:A39,A39)=1,$C$8,0))</f>
        <v/>
      </c>
      <c r="O39" s="36">
        <f>IF(A39="","",MIN(N39,IF(AND(SUMIF($A$15:$A$39,A39,$K$15:$K$39)&gt;0,SUMIF($A$15:$A$39,A39,$L$15:$L$39)&gt;0),$C$11,IF(OR(SUMIF($A$15:$A$39,A39,$K$15:$K$39)&gt;0,SUMIF($A$15:$A$39,A39,$L$15:$L$39)&gt;0),$C$10,$C$9))))</f>
        <v/>
      </c>
      <c r="P39" s="36">
        <f>IF(A39="","",N39-O39)</f>
        <v/>
      </c>
      <c r="Q39" s="4" t="n"/>
      <c r="R39" s="36">
        <f>IF(A39="","",N(H39)+N(I39)+N(J39)+N(K39)+N(L39)+N39)</f>
        <v/>
      </c>
      <c r="S39" s="16">
        <f>IF(A39="","",IF(ISNUMBER(SEARCH("ESEMPIO",B39)),"ESEMPIO: cancellare la riga",IF(OR(F39="",C39=""),"MANCA destinazione o commessa",IF(OR(LOWER(TRIM(F39))=LOWER(TRIM($C$6)),ISNUMBER(SEARCH(","&amp;LOWER(TRIM(F39))&amp;",",","&amp;LOWER(SUBSTITUTE($C$12," ",""))&amp;","))),"NO: trasferta nel comune della sede (o frazione)",IF(AND(N(K39)+N(L39)&gt;0,UPPER(M39)&lt;&gt;"S"),"NO: vitto/alloggio non tracciabile",IF(Q39&lt;1,"MANCA prova della trasferta","OK"))))))</f>
        <v/>
      </c>
    </row>
    <row r="41">
      <c r="F41" s="3" t="inlineStr">
        <is>
          <t>TOTALI</t>
        </is>
      </c>
      <c r="G41" s="17">
        <f>SUM(G15:G39)</f>
        <v/>
      </c>
      <c r="H41" s="38">
        <f>SUM(H15:H39)</f>
        <v/>
      </c>
      <c r="I41" s="38">
        <f>SUM(I15:I39)</f>
        <v/>
      </c>
      <c r="J41" s="38">
        <f>SUM(J15:J39)</f>
        <v/>
      </c>
      <c r="K41" s="38">
        <f>SUM(K15:K39)</f>
        <v/>
      </c>
      <c r="L41" s="38">
        <f>SUM(L15:L39)</f>
        <v/>
      </c>
      <c r="N41" s="38">
        <f>SUM(N15:N39)</f>
        <v/>
      </c>
      <c r="O41" s="38">
        <f>SUM(O15:O39)</f>
        <v/>
      </c>
      <c r="P41" s="38">
        <f>SUM(P15:P39)</f>
        <v/>
      </c>
      <c r="R41" s="38">
        <f>SUM(R15:R39)</f>
        <v/>
      </c>
    </row>
    <row r="42">
      <c r="F42" s="3" t="inlineStr">
        <is>
          <t>DA PAGARE (solo righe OK)</t>
        </is>
      </c>
      <c r="R42" s="39">
        <f>SUMIFS(R15:R39,S15:S39,"OK")</f>
        <v/>
      </c>
    </row>
    <row r="43">
      <c r="F43" s="3" t="inlineStr">
        <is>
          <t>di cui da tassare in cedolino (indennità oltre soglia, righe OK)</t>
        </is>
      </c>
      <c r="R43" s="43">
        <f>SUMIFS(P15:P39,S15:S39,"OK")</f>
        <v/>
      </c>
    </row>
    <row r="44">
      <c r="F44" s="3" t="inlineStr">
        <is>
          <t>Righe da correggere prima dell'approvazione</t>
        </is>
      </c>
      <c r="R44" s="20">
        <f>SUMPRODUCT((S15:S39&lt;&gt;"")*(LEFT(S15:S39,2)&lt;&gt;"OK"))</f>
        <v/>
      </c>
    </row>
    <row r="47">
      <c r="A47" s="3" t="inlineStr">
        <is>
          <t>Firma del beneficiario e data</t>
        </is>
      </c>
      <c r="C47" s="21" t="n"/>
      <c r="D47" s="21" t="n"/>
      <c r="E47" s="21" t="n"/>
      <c r="F47" s="21" t="n"/>
      <c r="G47" s="21" t="n"/>
    </row>
    <row r="49">
      <c r="A49" s="3" t="inlineStr">
        <is>
          <t>Approvato da (altro amministratore), firma e data</t>
        </is>
      </c>
      <c r="C49" s="21" t="n"/>
      <c r="D49" s="21" t="n"/>
      <c r="E49" s="21" t="n"/>
      <c r="F49" s="21" t="n"/>
      <c r="G49" s="21" t="n"/>
    </row>
    <row r="51">
      <c r="A51" s="3" t="inlineStr">
        <is>
          <t>Pagato con bonifico il / CRO</t>
        </is>
      </c>
      <c r="C51" s="21" t="n"/>
      <c r="D51" s="21" t="n"/>
      <c r="E51" s="21" t="n"/>
      <c r="F51" s="21" t="n"/>
      <c r="G51" s="21" t="n"/>
    </row>
    <row r="53">
      <c r="A53" s="3" t="inlineStr">
        <is>
          <t>Riportato nel cedolino del mese, voce</t>
        </is>
      </c>
      <c r="C53" s="21" t="n"/>
      <c r="D53" s="21" t="n"/>
      <c r="E53" s="21" t="n"/>
      <c r="F53" s="21" t="n"/>
      <c r="G53" s="21" t="n"/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1"/>
  <conditionalFormatting sqref="S15:S39">
    <cfRule type="expression" priority="1" dxfId="0">
      <formula>LEFT(S15,2)="OK"</formula>
    </cfRule>
    <cfRule type="expression" priority="2" dxfId="1">
      <formula>AND(S15&lt;&gt;"",LEFT(S15,2)&lt;&gt;"OK")</formula>
    </cfRule>
  </conditionalFormatting>
  <dataValidations count="1">
    <dataValidation sqref="M15:M39" showDropDown="0" showInputMessage="0" showErrorMessage="0" allowBlank="1" type="list">
      <formula1>"S,N"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8" t="inlineStr">
        <is>
          <t>COME COMPILARE (5 minuti al mese)</t>
        </is>
      </c>
    </row>
    <row r="2">
      <c r="A2" s="29" t="inlineStr">
        <is>
          <t>1. Celle gialle = da compilare. Celle grigie e bianche = calcolate, non toccare.</t>
        </is>
      </c>
    </row>
    <row r="3">
      <c r="A3" s="29" t="inlineStr">
        <is>
          <t>2. Intestazione: si compila una volta sola; aggiornare il mese, e la tariffa ACI solo se cambia il veicolo.</t>
        </is>
      </c>
    </row>
    <row r="4">
      <c r="A4" s="29" t="inlineStr">
        <is>
          <t>3. Una riga per ogni trasferta, il giorno stesso o a fine settimana. La riga azzurra è un esempio: cancellarla.</t>
        </is>
      </c>
    </row>
    <row r="5">
      <c r="A5" s="29" t="inlineStr">
        <is>
          <t>4. Colonna «Controllo»: deve dire OK su ogni riga. Se è rossa, correggere o eliminare la riga prima di firmare.</t>
        </is>
      </c>
    </row>
    <row r="6">
      <c r="A6" s="29" t="inlineStr">
        <is>
          <t>5. A fine mese: salvare in PDF, firmare, far approvare da un altro amministratore, allegare i documenti, pagare con bonifico l'importo «TOTALE RIMBORSABILE».</t>
        </is>
      </c>
    </row>
    <row r="7">
      <c r="A7" s="29" t="inlineStr"/>
    </row>
    <row r="8">
      <c r="A8" s="28" t="inlineStr">
        <is>
          <t>COSA SI INSERISCE IN OGNI COLONNA</t>
        </is>
      </c>
    </row>
    <row r="9">
      <c r="A9" s="29" t="inlineStr">
        <is>
          <t>Data: giorno della trasferta.  Cliente e Commessa: cliente servito e riferimento verificabile (commessa o fattura FatturaLab, verbale, mail).</t>
        </is>
      </c>
    </row>
    <row r="10">
      <c r="A10" s="29" t="inlineStr">
        <is>
          <t>Motivo: attività svolta (sopralluogo, corso, riunione, audit...). Mai generico («varie», «clienti»).</t>
        </is>
      </c>
    </row>
    <row r="11">
      <c r="A11" s="29" t="inlineStr">
        <is>
          <t>Partenza: normalmente la sede di Villafranca. Se si parte da casa (Verona), indicare Verona e usare i km più brevi fra casa-cliente e sede-cliente.</t>
        </is>
      </c>
    </row>
    <row r="12">
      <c r="A12" s="29" t="inlineStr">
        <is>
          <t>Destinazione: il COMUNE del cliente, non la frazione né la via. Deve essere diverso da Villafranca di Verona e dalle sue frazioni (Alpo, Caluri, Dossobuono, Pizzoletta, Quaderni, Rizza, Rosegaferro): il controllo le riconosce [elenco da confermare].</t>
        </is>
      </c>
    </row>
    <row r="13">
      <c r="A13" s="29" t="inlineStr">
        <is>
          <t>Km andata e ritorno: distanza reale del percorso (stampare il percorso da Google Maps o simile e allegarlo).</t>
        </is>
      </c>
    </row>
    <row r="14">
      <c r="A14" s="29" t="inlineStr">
        <is>
          <t>Pedaggi e parcheggi: solo con ricevuta o estratto Telepass.  Vitto, alloggio, taxi: solo con ricevuta e pagamento con carta o bonifico (colonna S/N = S).</t>
        </is>
      </c>
    </row>
    <row r="15">
      <c r="A15" s="29" t="inlineStr">
        <is>
          <t>N. allegati: quanti documenti sono allegati a quella riga (percorso, ricevute, prova della visita).</t>
        </is>
      </c>
    </row>
    <row r="16">
      <c r="A16" s="29" t="inlineStr"/>
    </row>
    <row r="17">
      <c r="A17" s="28" t="inlineStr">
        <is>
          <t>COSA NON SI RIMBORSA MAI IN QUESTA NOTA</t>
        </is>
      </c>
    </row>
    <row r="18">
      <c r="A18" s="29" t="inlineStr">
        <is>
          <t>- Tragitto casa-lavoro (Verona - Villafranca nei giorni in ufficio): non è una trasferta.</t>
        </is>
      </c>
    </row>
    <row r="19">
      <c r="A19" s="29" t="inlineStr">
        <is>
          <t>- Noleggio, rate, assicurazione o bollo dell'auto personale: sono già compresi nella tariffa ACI al km.</t>
        </is>
      </c>
    </row>
    <row r="20">
      <c r="A20" s="29" t="inlineStr">
        <is>
          <t>- Qualsiasi spesa personale o non legata a una trasferta. Se una spesa riguarda Overall, la paga Overall con fattura intestata alla società.</t>
        </is>
      </c>
    </row>
    <row r="21">
      <c r="A21" s="29" t="inlineStr">
        <is>
          <t>- Spostamenti dentro il comune di Villafranca (salvo spese di trasporto documentate, da trattare a parte).</t>
        </is>
      </c>
    </row>
    <row r="22">
      <c r="A22" s="29" t="inlineStr">
        <is>
          <t>- Importi senza documento: ogni cifra viene dal percorso stampato o da una ricevuta.</t>
        </is>
      </c>
    </row>
    <row r="23">
      <c r="A23" s="29" t="inlineStr"/>
    </row>
    <row r="24">
      <c r="A24" s="28" t="inlineStr">
        <is>
          <t>ALTERNATIVA: INDENNITÀ FORFETTARIA — foglio «Nota forfettaria»</t>
        </is>
      </c>
    </row>
    <row r="25">
      <c r="A25" s="29" t="inlineStr">
        <is>
          <t>Si usa uno solo dei due fogli, secondo quanto prevede il regolamento trasferte approvato dai soci. Non si mescolano nello stesso mese. L'indennità rimborsa trasferte reali: non serve a integrare il compenso.</t>
        </is>
      </c>
    </row>
    <row r="26">
      <c r="A26" s="29" t="inlineStr">
        <is>
          <t>Per ogni giorno di trasferta fuori dal comune della sede spetta un'indennità esente fino a 46,48 € (Italia). Se nello stesso giorno si rimborsa a piè di lista il vitto oppure l'alloggio, l'indennità esente scende a 30,99 €; se si rimborsano entrambi, a 15,49 €.</t>
        </is>
      </c>
    </row>
    <row r="27">
      <c r="A27" s="29" t="inlineStr">
        <is>
          <t>In aggiunta si rimborsano, con documenti, i km (tariffa ACI), i pedaggi e i parcheggi: l'art. 51, c. 5, TUIR esclude dal reddito le spese di viaggio «ivi comprese le indennità chilometriche».</t>
        </is>
      </c>
    </row>
    <row r="28">
      <c r="A28" s="29" t="inlineStr">
        <is>
          <t>Più clienti nello stesso giorno: una riga per cliente; l'indennità viene contata automaticamente una sola volta, sulla prima riga di quella data. Se nel giorno vitto o alloggio sono forniti gratuitamente (dal cliente o dalla società), la soglia esente scende come se fossero rimborsati: segnalarlo nel motivo e ridurre l'indennità.</t>
        </is>
      </c>
    </row>
    <row r="29">
      <c r="A29" s="29" t="inlineStr">
        <is>
          <t>Una sola indennità per giorno. Serve comunque la prova della trasferta (commessa, verbale, mail): senza, l'indennità è reddito. L'indennità forfettaria non richiede scontrini né pagamenti tracciabili; il vitto o l'alloggio rimborsati a parte sì.</t>
        </is>
      </c>
    </row>
    <row r="30">
      <c r="A30" s="29" t="inlineStr">
        <is>
          <t>Importo dell'indennità: fissato dal regolamento. Oltre le soglie esenti la parte eccedente è reddito da tassare in cedolino.</t>
        </is>
      </c>
    </row>
    <row r="31">
      <c r="A31" s="29" t="inlineStr"/>
    </row>
    <row r="32">
      <c r="A32" s="28" t="inlineStr">
        <is>
          <t>RIFERIMENTI</t>
        </is>
      </c>
    </row>
    <row r="33">
      <c r="A33" s="29" t="inlineStr">
        <is>
          <t>Art. 51, c. 5, e art. 52 TUIR (trasferte di dipendenti e amministratori). Tabelle ACI dei costi chilometrici, aggiornate ogni anno. Tracciabilità di vitto, alloggio, viaggio e taxi dal 2025: L. 207/2024, art. 1, c. 81-83.</t>
        </is>
      </c>
    </row>
    <row r="34">
      <c r="A34" s="29" t="inlineStr">
        <is>
          <t>Presupposti da approvare una volta dai soci (art. 24 dello statuto, trattamento degli amministratori): sede di lavoro dell'amministratore a Villafranca di Verona; regolamento trasferte; approvazione di ogni nota da parte di un altro amministratore.</t>
        </is>
      </c>
    </row>
    <row r="35">
      <c r="A35" s="29" t="inlineStr">
        <is>
          <t>Modello predisposto il 25/09/2026. Tariffa di esempio 0,45 €/km: sostituirla con il valore ACI del veicolo effettivo.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2026-09-25T17:08:00Z</dcterms:created>
  <dcterms:modified xmlns:dcterms="http://purl.org/dc/terms/" xmlns:xsi="http://www.w3.org/2001/XMLSchema-instance" xsi:type="dcterms:W3CDTF">2026-09-29T14:23:37Z</dcterms:modified>
</cp:coreProperties>
</file>